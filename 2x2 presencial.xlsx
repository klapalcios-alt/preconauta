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dd\Desktop\Codes\Liga preconauta\preconauta-league\"/>
    </mc:Choice>
  </mc:AlternateContent>
  <xr:revisionPtr revIDLastSave="0" documentId="13_ncr:1_{53AECC94-D0D6-4433-8E56-93E56687693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Planilha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06" i="1" l="1"/>
  <c r="D106" i="1"/>
  <c r="C107" i="1"/>
  <c r="D107" i="1"/>
  <c r="C108" i="1"/>
  <c r="D108" i="1"/>
  <c r="C109" i="1"/>
  <c r="D109" i="1"/>
  <c r="C110" i="1"/>
  <c r="D110" i="1"/>
  <c r="C111" i="1"/>
  <c r="D111" i="1"/>
  <c r="C112" i="1"/>
  <c r="D112" i="1"/>
  <c r="C113" i="1"/>
  <c r="D113" i="1"/>
  <c r="C93" i="1"/>
  <c r="D93" i="1"/>
  <c r="C94" i="1"/>
  <c r="D94" i="1"/>
  <c r="C95" i="1"/>
  <c r="D95" i="1"/>
  <c r="C96" i="1"/>
  <c r="D96" i="1"/>
  <c r="C97" i="1"/>
  <c r="D97" i="1"/>
  <c r="C98" i="1"/>
  <c r="D98" i="1"/>
  <c r="C99" i="1"/>
  <c r="D99" i="1"/>
  <c r="C100" i="1"/>
  <c r="D100" i="1"/>
  <c r="C101" i="1"/>
  <c r="D101" i="1"/>
  <c r="C102" i="1"/>
  <c r="D102" i="1"/>
  <c r="C103" i="1"/>
  <c r="D103" i="1"/>
  <c r="C104" i="1"/>
  <c r="D104" i="1"/>
  <c r="C105" i="1"/>
  <c r="D105" i="1"/>
  <c r="C92" i="1"/>
  <c r="D92" i="1"/>
  <c r="C85" i="1"/>
  <c r="D85" i="1"/>
  <c r="C86" i="1"/>
  <c r="D86" i="1"/>
  <c r="C87" i="1"/>
  <c r="D87" i="1"/>
  <c r="C88" i="1"/>
  <c r="D88" i="1"/>
  <c r="C89" i="1"/>
  <c r="D89" i="1"/>
  <c r="C90" i="1"/>
  <c r="D90" i="1"/>
  <c r="C91" i="1"/>
  <c r="D91" i="1"/>
  <c r="C76" i="1"/>
  <c r="D76" i="1"/>
  <c r="C77" i="1"/>
  <c r="D77" i="1"/>
  <c r="C78" i="1"/>
  <c r="D78" i="1"/>
  <c r="C79" i="1"/>
  <c r="D79" i="1"/>
  <c r="C80" i="1"/>
  <c r="D80" i="1"/>
  <c r="C81" i="1"/>
  <c r="D81" i="1"/>
  <c r="C82" i="1"/>
  <c r="D82" i="1"/>
  <c r="C83" i="1"/>
  <c r="D83" i="1"/>
  <c r="C84" i="1"/>
  <c r="D84" i="1"/>
  <c r="C70" i="1"/>
  <c r="D70" i="1"/>
  <c r="C71" i="1"/>
  <c r="D71" i="1"/>
  <c r="C72" i="1"/>
  <c r="D72" i="1"/>
  <c r="C73" i="1"/>
  <c r="D73" i="1"/>
  <c r="C74" i="1"/>
  <c r="D74" i="1"/>
  <c r="C75" i="1"/>
  <c r="D75" i="1"/>
  <c r="C62" i="1"/>
  <c r="D62" i="1"/>
  <c r="C63" i="1"/>
  <c r="D63" i="1"/>
  <c r="C64" i="1"/>
  <c r="D64" i="1"/>
  <c r="C65" i="1"/>
  <c r="D65" i="1"/>
  <c r="C66" i="1"/>
  <c r="D66" i="1"/>
  <c r="C67" i="1"/>
  <c r="D67" i="1"/>
  <c r="C68" i="1"/>
  <c r="D68" i="1"/>
  <c r="C69" i="1"/>
  <c r="D69" i="1"/>
  <c r="C53" i="1"/>
  <c r="D53" i="1"/>
  <c r="C54" i="1"/>
  <c r="D54" i="1"/>
  <c r="C55" i="1"/>
  <c r="D55" i="1"/>
  <c r="C56" i="1"/>
  <c r="D56" i="1"/>
  <c r="C57" i="1"/>
  <c r="D57" i="1"/>
  <c r="C58" i="1"/>
  <c r="D58" i="1"/>
  <c r="C59" i="1"/>
  <c r="D59" i="1"/>
  <c r="C60" i="1"/>
  <c r="D60" i="1"/>
  <c r="C61" i="1"/>
  <c r="D61" i="1"/>
  <c r="C45" i="1"/>
  <c r="D45" i="1"/>
  <c r="C46" i="1"/>
  <c r="D46" i="1"/>
  <c r="C47" i="1"/>
  <c r="D47" i="1"/>
  <c r="C48" i="1"/>
  <c r="D48" i="1"/>
  <c r="C49" i="1"/>
  <c r="D49" i="1"/>
  <c r="C50" i="1"/>
  <c r="D50" i="1"/>
  <c r="C51" i="1"/>
  <c r="D51" i="1"/>
  <c r="C52" i="1"/>
  <c r="D52" i="1"/>
  <c r="C40" i="1"/>
  <c r="D40" i="1"/>
  <c r="C41" i="1"/>
  <c r="D41" i="1"/>
  <c r="C42" i="1"/>
  <c r="D42" i="1"/>
  <c r="C43" i="1"/>
  <c r="D43" i="1"/>
  <c r="C44" i="1"/>
  <c r="D44" i="1"/>
  <c r="C32" i="1"/>
  <c r="D32" i="1"/>
  <c r="C33" i="1"/>
  <c r="D33" i="1"/>
  <c r="C34" i="1"/>
  <c r="D34" i="1"/>
  <c r="C35" i="1"/>
  <c r="D35" i="1"/>
  <c r="C36" i="1"/>
  <c r="D36" i="1"/>
  <c r="C37" i="1"/>
  <c r="D37" i="1"/>
  <c r="C38" i="1"/>
  <c r="D38" i="1"/>
  <c r="C39" i="1"/>
  <c r="D39" i="1"/>
  <c r="D24" i="1"/>
  <c r="D25" i="1"/>
  <c r="D26" i="1"/>
  <c r="D27" i="1"/>
  <c r="D28" i="1"/>
  <c r="D29" i="1"/>
  <c r="D30" i="1"/>
  <c r="D31" i="1"/>
  <c r="C24" i="1"/>
  <c r="C25" i="1"/>
  <c r="C26" i="1"/>
  <c r="C27" i="1"/>
  <c r="C28" i="1"/>
  <c r="C29" i="1"/>
  <c r="C30" i="1"/>
  <c r="C31" i="1"/>
  <c r="D18" i="1"/>
  <c r="D19" i="1"/>
  <c r="D20" i="1"/>
  <c r="D22" i="1"/>
  <c r="D23" i="1"/>
  <c r="C18" i="1"/>
  <c r="C19" i="1"/>
  <c r="C20" i="1"/>
  <c r="C22" i="1"/>
  <c r="C23" i="1"/>
  <c r="C12" i="1"/>
  <c r="D12" i="1"/>
  <c r="C13" i="1"/>
  <c r="D13" i="1"/>
  <c r="C14" i="1"/>
  <c r="D14" i="1"/>
  <c r="C15" i="1"/>
  <c r="D15" i="1"/>
  <c r="C16" i="1"/>
  <c r="D16" i="1"/>
  <c r="C17" i="1"/>
  <c r="D17" i="1"/>
  <c r="D8" i="1"/>
  <c r="D9" i="1"/>
  <c r="D10" i="1"/>
  <c r="D11" i="1"/>
  <c r="C8" i="1"/>
  <c r="C9" i="1"/>
  <c r="C10" i="1"/>
  <c r="C11" i="1"/>
  <c r="D3" i="1"/>
  <c r="D4" i="1"/>
  <c r="D5" i="1"/>
  <c r="D6" i="1"/>
  <c r="D7" i="1"/>
  <c r="C3" i="1"/>
  <c r="C4" i="1"/>
  <c r="C5" i="1"/>
  <c r="C6" i="1"/>
  <c r="C7" i="1"/>
  <c r="D2" i="1"/>
  <c r="C2" i="1"/>
</calcChain>
</file>

<file path=xl/sharedStrings.xml><?xml version="1.0" encoding="utf-8"?>
<sst xmlns="http://schemas.openxmlformats.org/spreadsheetml/2006/main" count="996" uniqueCount="298">
  <si>
    <t>evento</t>
  </si>
  <si>
    <t>dupla</t>
  </si>
  <si>
    <t>player 1</t>
  </si>
  <si>
    <t>player 2</t>
  </si>
  <si>
    <t>deck 1</t>
  </si>
  <si>
    <t>deck 2</t>
  </si>
  <si>
    <t>liga-2x2-presencial-s1-e01-1</t>
  </si>
  <si>
    <t>Nobru &amp; Metusa</t>
  </si>
  <si>
    <t>Langa &amp; Guga</t>
  </si>
  <si>
    <t>Teixeira &amp; Pedro</t>
  </si>
  <si>
    <t>Martin &amp; Jorel</t>
  </si>
  <si>
    <t>Baron &amp; Dare</t>
  </si>
  <si>
    <t>Zubk &amp; Nath</t>
  </si>
  <si>
    <t>Virtue and Valor</t>
  </si>
  <si>
    <t>Animated Army</t>
  </si>
  <si>
    <t>Ahoy Mateys</t>
  </si>
  <si>
    <t>Mardu Surge</t>
  </si>
  <si>
    <t>Veloci-Ramp-Tor</t>
  </si>
  <si>
    <t>Jeskai Striker</t>
  </si>
  <si>
    <t>Creative Energy</t>
  </si>
  <si>
    <t>Jump Scare!</t>
  </si>
  <si>
    <t>Mind Flayarrrs</t>
  </si>
  <si>
    <t>Grave Danger</t>
  </si>
  <si>
    <t>liga-2x2-presencial-s1-e02</t>
  </si>
  <si>
    <t>Tony &amp; Oscar</t>
  </si>
  <si>
    <t>Jorel &amp; Martin</t>
  </si>
  <si>
    <t>Fiel &amp; Werneck</t>
  </si>
  <si>
    <t>Fae Dominion</t>
  </si>
  <si>
    <t>Scions &amp; Spellcraft</t>
  </si>
  <si>
    <t>Blight Curse</t>
  </si>
  <si>
    <t>Counter Blitz</t>
  </si>
  <si>
    <t>Endless Punishment</t>
  </si>
  <si>
    <t>Death Toll</t>
  </si>
  <si>
    <t>liga-2x2-presencial-s1-e04</t>
  </si>
  <si>
    <t>Bauer &amp; Langa</t>
  </si>
  <si>
    <t>Rudzzt &amp; Metusa</t>
  </si>
  <si>
    <t>Zangalli &amp; Zangalli pai</t>
  </si>
  <si>
    <t>Freire &amp; Pudeulko</t>
  </si>
  <si>
    <t>Nobru &amp; Tarik</t>
  </si>
  <si>
    <t>Temur Roar</t>
  </si>
  <si>
    <t>Sem deck</t>
  </si>
  <si>
    <t>liga-2x2-presencial-s1-e06</t>
  </si>
  <si>
    <t>Metusa &amp; Rudi</t>
  </si>
  <si>
    <t>Carlos &amp; Mel</t>
  </si>
  <si>
    <t>Matheus &amp; luciano</t>
  </si>
  <si>
    <t>Nobru &amp; tarik</t>
  </si>
  <si>
    <t>Aleksander &amp; Luisa</t>
  </si>
  <si>
    <t>Dupla desconhecida</t>
  </si>
  <si>
    <t>Turtle Power!</t>
  </si>
  <si>
    <t>Riders of Rohan</t>
  </si>
  <si>
    <t>Langa &amp; Murilo Ferreira</t>
  </si>
  <si>
    <t>Melke &amp; Gustavo Dias</t>
  </si>
  <si>
    <t>Bauer &amp; Kennao</t>
  </si>
  <si>
    <t>Theo &amp; Leonardo</t>
  </si>
  <si>
    <t>Matheus Assis &amp; Luciano</t>
  </si>
  <si>
    <t>Nobru &amp; Nicolas</t>
  </si>
  <si>
    <t>liga-2x2-presencial-s1-e07</t>
  </si>
  <si>
    <t>Vampiric Bloodline</t>
  </si>
  <si>
    <t>Squirreled Away</t>
  </si>
  <si>
    <t>Sultai Arisen</t>
  </si>
  <si>
    <t>Limit Break</t>
  </si>
  <si>
    <t>Zangalli &amp; Vina</t>
  </si>
  <si>
    <t>Melke &amp; Sônia</t>
  </si>
  <si>
    <t>Banshee &amp; Gabi</t>
  </si>
  <si>
    <t>Matheus &amp; Murilo</t>
  </si>
  <si>
    <t>Nobru &amp; Guga</t>
  </si>
  <si>
    <t>Manfrinato &amp; Melissa</t>
  </si>
  <si>
    <t>liga-2x2-presencial-s1-e08</t>
  </si>
  <si>
    <t>Abzan Armor</t>
  </si>
  <si>
    <t>Blast from the Past</t>
  </si>
  <si>
    <t>Food and Fellowship</t>
  </si>
  <si>
    <t>liga-2x2-presencial-s1-e09</t>
  </si>
  <si>
    <t>Murilo Oyafuso &amp; Castanhari</t>
  </si>
  <si>
    <t>Oscar &amp; Anthony</t>
  </si>
  <si>
    <t>Metusa &amp; Rud</t>
  </si>
  <si>
    <t>Matheus &amp; Romano</t>
  </si>
  <si>
    <t>World Shapper</t>
  </si>
  <si>
    <t>Explorers of the Deep</t>
  </si>
  <si>
    <t>Quantum Quandrix</t>
  </si>
  <si>
    <t>liga-2x2-presencial-s2-e1</t>
  </si>
  <si>
    <t>Melk &amp; Sônia</t>
  </si>
  <si>
    <t>Zangalli &amp; Cheury</t>
  </si>
  <si>
    <t>Matheus &amp; Johann</t>
  </si>
  <si>
    <t>Metusalem &amp; Ruddzt</t>
  </si>
  <si>
    <t>Oscar &amp; Vini</t>
  </si>
  <si>
    <t>Berka &amp; Nobru</t>
  </si>
  <si>
    <t>Theo &amp; André</t>
  </si>
  <si>
    <t>Dance of the Elements</t>
  </si>
  <si>
    <t>Bedecked Brokers</t>
  </si>
  <si>
    <t>Murilo Oyafuso &amp; Arthur Castanhari</t>
  </si>
  <si>
    <t>Carlos Kit &amp; Gustavo Dias</t>
  </si>
  <si>
    <t>Nobru &amp; Melk</t>
  </si>
  <si>
    <t>Eduardo &amp; Luís Zangalli</t>
  </si>
  <si>
    <t>Ewerson &amp; Gabriel</t>
  </si>
  <si>
    <t>André &amp; Matheus</t>
  </si>
  <si>
    <t>liga-2x2-presencial-s2-e2</t>
  </si>
  <si>
    <t>Cabaretti Cacophony</t>
  </si>
  <si>
    <t>Angels: They're Just Like Us, but Cooler and with Wings</t>
  </si>
  <si>
    <t>Sonia &amp; Melk</t>
  </si>
  <si>
    <t>Gustavo dias &amp; Gustavo taverna</t>
  </si>
  <si>
    <t>Martin &amp; Banshee</t>
  </si>
  <si>
    <t>Furiatti &amp; Nakamura</t>
  </si>
  <si>
    <t>Fabi &amp; João Marmentini</t>
  </si>
  <si>
    <t>Metusa &amp; Ruddzt</t>
  </si>
  <si>
    <t>Romano &amp; Matheus</t>
  </si>
  <si>
    <t>liga-2x2-presencial-s2-e3</t>
  </si>
  <si>
    <t>Family Matters</t>
  </si>
  <si>
    <t>Lorehold Spirit</t>
  </si>
  <si>
    <t>Prismari Artistry</t>
  </si>
  <si>
    <t>Quandrix Unlimited</t>
  </si>
  <si>
    <t>Silverquill Influence</t>
  </si>
  <si>
    <t>Jorel &amp; Banshee</t>
  </si>
  <si>
    <t>Melk &amp; Sonia</t>
  </si>
  <si>
    <t>Matheus &amp; Beck</t>
  </si>
  <si>
    <t>liga-2x2-presencial-s2-e4</t>
  </si>
  <si>
    <t>Witherbloom Pestilence</t>
  </si>
  <si>
    <t>Mishra's Burnished Banner</t>
  </si>
  <si>
    <t>Timeless Wisdom</t>
  </si>
  <si>
    <t>Draconic Rage</t>
  </si>
  <si>
    <t>Murilo &amp; Arthur</t>
  </si>
  <si>
    <t>Banshee &amp; Ruanito</t>
  </si>
  <si>
    <t>Beck &amp; Gus</t>
  </si>
  <si>
    <t>Rogério &amp; Nathan</t>
  </si>
  <si>
    <t>Zangalli  &amp; Clausius</t>
  </si>
  <si>
    <t>liga-2x2-presencial-s2-e5</t>
  </si>
  <si>
    <t>Undead Unleashed</t>
  </si>
  <si>
    <t>Breed Lethality</t>
  </si>
  <si>
    <t>Arthur &amp; Oyafuso</t>
  </si>
  <si>
    <t>Urza's Iron Alliance</t>
  </si>
  <si>
    <t>Sneak Attack</t>
  </si>
  <si>
    <t>Elven Council</t>
  </si>
  <si>
    <t>Andre &amp; Matheus</t>
  </si>
  <si>
    <t>Metusa &amp; Rudzzt</t>
  </si>
  <si>
    <t>Gustavo Dias &amp; Luciano</t>
  </si>
  <si>
    <t>Berka &amp; Du</t>
  </si>
  <si>
    <t>Nathan &amp; Coelho</t>
  </si>
  <si>
    <t>liga-2x2-presencial-s2-e6</t>
  </si>
  <si>
    <t>liga-2x2-presencial-s2-e7</t>
  </si>
  <si>
    <t>Lucas &amp; Luiz Rodrigues</t>
  </si>
  <si>
    <t>Nathalia &amp; Lily</t>
  </si>
  <si>
    <t>Zangalli &amp; Banshee</t>
  </si>
  <si>
    <t>Castanhari &amp; Oyafuso</t>
  </si>
  <si>
    <t>Beck &amp; Ricardo</t>
  </si>
  <si>
    <t>Matheus &amp; André</t>
  </si>
  <si>
    <t>João &amp; Hermann</t>
  </si>
  <si>
    <t>Pietro &amp; Luiz Henrique</t>
  </si>
  <si>
    <t>Nathan &amp; Rogério</t>
  </si>
  <si>
    <t>Tricky Terrain</t>
  </si>
  <si>
    <t>Revival Trance</t>
  </si>
  <si>
    <t>Counter Intelligence</t>
  </si>
  <si>
    <t>Arcane Maelstrom</t>
  </si>
  <si>
    <t>Kit &amp; Gustavo</t>
  </si>
  <si>
    <t>Johann &amp; Matheus</t>
  </si>
  <si>
    <t>André &amp; Zangalli</t>
  </si>
  <si>
    <t>Rogério &amp; Beck</t>
  </si>
  <si>
    <t>liga-2x2-presencial-s2-e8</t>
  </si>
  <si>
    <t>Revenant Recon</t>
  </si>
  <si>
    <t>Necron Dynasties</t>
  </si>
  <si>
    <t>Mutant Menace</t>
  </si>
  <si>
    <t>liga-2x2-presencial-s2-e9</t>
  </si>
  <si>
    <t>Jorel</t>
  </si>
  <si>
    <t>Banshee</t>
  </si>
  <si>
    <t>Wakanda Forever</t>
  </si>
  <si>
    <t>Doom Prevails</t>
  </si>
  <si>
    <t>Zangas &amp; André</t>
  </si>
  <si>
    <t>Zangas</t>
  </si>
  <si>
    <t>André</t>
  </si>
  <si>
    <t>Melk</t>
  </si>
  <si>
    <t>Sonia</t>
  </si>
  <si>
    <t>Metusa</t>
  </si>
  <si>
    <t>Rudzzt</t>
  </si>
  <si>
    <t>Nobru &amp; Kit</t>
  </si>
  <si>
    <t>Nobru</t>
  </si>
  <si>
    <t>Kit</t>
  </si>
  <si>
    <t>Raining Cats and Dogs</t>
  </si>
  <si>
    <t>Everton Grochoski &amp; Gabriel Arents</t>
  </si>
  <si>
    <t>Everton Grochoski</t>
  </si>
  <si>
    <t>Gabriel Arents</t>
  </si>
  <si>
    <t>Avengers Assemble</t>
  </si>
  <si>
    <t>Castanhari</t>
  </si>
  <si>
    <t>Oyafuso</t>
  </si>
  <si>
    <t>Open Hostility</t>
  </si>
  <si>
    <t>Luiz Rodrigues &amp; Lucas Alano</t>
  </si>
  <si>
    <t>Luiz Rodrigues</t>
  </si>
  <si>
    <t>Lucas Alano</t>
  </si>
  <si>
    <t>iga-2x2-presencial-s3-e01</t>
  </si>
  <si>
    <t>André &amp; Beck</t>
  </si>
  <si>
    <t>Beck</t>
  </si>
  <si>
    <t>Tarik</t>
  </si>
  <si>
    <t>Castanhari &amp; Samy</t>
  </si>
  <si>
    <t>Samy</t>
  </si>
  <si>
    <t>Rebellion Rising</t>
  </si>
  <si>
    <t>Living Energy</t>
  </si>
  <si>
    <t>liga-2x2-presencial-s3-e02</t>
  </si>
  <si>
    <t>Matheus</t>
  </si>
  <si>
    <t>Draconic Destruction</t>
  </si>
  <si>
    <t>Banshee &amp; Luciano</t>
  </si>
  <si>
    <t>Luciano</t>
  </si>
  <si>
    <t>Melksilva &amp; Sônia</t>
  </si>
  <si>
    <t>Melksilva</t>
  </si>
  <si>
    <t>Sônia</t>
  </si>
  <si>
    <t>Chaca &amp; Susan</t>
  </si>
  <si>
    <t>Chaca</t>
  </si>
  <si>
    <t>Susan</t>
  </si>
  <si>
    <t>Turtle Power</t>
  </si>
  <si>
    <t>Rafael &amp; Beatriz</t>
  </si>
  <si>
    <t>Rafael</t>
  </si>
  <si>
    <t>Beatriz</t>
  </si>
  <si>
    <t>World Shaper</t>
  </si>
  <si>
    <t>Matheus &amp; Pedro</t>
  </si>
  <si>
    <t>Pedro</t>
  </si>
  <si>
    <t>Mind Flayers</t>
  </si>
  <si>
    <t>Luiz &amp; João</t>
  </si>
  <si>
    <t>Luiz</t>
  </si>
  <si>
    <t>João</t>
  </si>
  <si>
    <t>Natalia Tamura &amp; Eduardo Imamura</t>
  </si>
  <si>
    <t>Natalia Tamura</t>
  </si>
  <si>
    <t>Eduardo Imamura</t>
  </si>
  <si>
    <t>Chueiry &amp; Rogério Coelho</t>
  </si>
  <si>
    <t>Chueiry</t>
  </si>
  <si>
    <t>Rogério Coelho</t>
  </si>
  <si>
    <t>liga-2x2-presencial-s3-e03</t>
  </si>
  <si>
    <t>Martin</t>
  </si>
  <si>
    <t>Pelanza</t>
  </si>
  <si>
    <t>Ruddzt</t>
  </si>
  <si>
    <t>Forces of the Imperium</t>
  </si>
  <si>
    <t>Nathan &amp; Luciano</t>
  </si>
  <si>
    <t>Nathan</t>
  </si>
  <si>
    <t>Theo</t>
  </si>
  <si>
    <t>Leonardo</t>
  </si>
  <si>
    <t>Capitão América</t>
  </si>
  <si>
    <t>Kit &amp; Beck</t>
  </si>
  <si>
    <t>Murilo &amp; Kim</t>
  </si>
  <si>
    <t>Murilo</t>
  </si>
  <si>
    <t>Kim</t>
  </si>
  <si>
    <t>Oscar</t>
  </si>
  <si>
    <t>Vini</t>
  </si>
  <si>
    <t>The Fantastic Four</t>
  </si>
  <si>
    <t>liga-2x2-presencial-s3-e4</t>
  </si>
  <si>
    <t>Rootha</t>
  </si>
  <si>
    <t>Forças do Império</t>
  </si>
  <si>
    <t>Maelstrom Arcano</t>
  </si>
  <si>
    <t>Zangalli &amp; Chueiry</t>
  </si>
  <si>
    <t>Zangalli</t>
  </si>
  <si>
    <t>Lord</t>
  </si>
  <si>
    <t>Augusto &amp; Gabriel</t>
  </si>
  <si>
    <t>Augusto</t>
  </si>
  <si>
    <t>Gabriel</t>
  </si>
  <si>
    <t>Manfrinato &amp; Banshee</t>
  </si>
  <si>
    <t>Manfrinato</t>
  </si>
  <si>
    <t>Werneck &amp; Wernecka</t>
  </si>
  <si>
    <t>Werneck</t>
  </si>
  <si>
    <t>Wernecka</t>
  </si>
  <si>
    <t>Ureni</t>
  </si>
  <si>
    <t>Planeswalker Party</t>
  </si>
  <si>
    <t>liga-2x2-presencial-s3-e5</t>
  </si>
  <si>
    <t>Zangalli &amp; Oscar</t>
  </si>
  <si>
    <t>Massacre dos Maestros</t>
  </si>
  <si>
    <t>Içar Velas</t>
  </si>
  <si>
    <t>Corrupting</t>
  </si>
  <si>
    <t>Rafa &amp; Bea</t>
  </si>
  <si>
    <t>Rafa</t>
  </si>
  <si>
    <t>Bea</t>
  </si>
  <si>
    <t>Fadas</t>
  </si>
  <si>
    <t>Beck &amp; Nathan</t>
  </si>
  <si>
    <t>Kalamax</t>
  </si>
  <si>
    <t>Rhota</t>
  </si>
  <si>
    <t>Matheus Herman &amp; Luiz Freiberger</t>
  </si>
  <si>
    <t>Matheus Herman</t>
  </si>
  <si>
    <t>Luiz Freiberger</t>
  </si>
  <si>
    <t>Eowyn</t>
  </si>
  <si>
    <t>Ashling</t>
  </si>
  <si>
    <t>Corrupting Influence</t>
  </si>
  <si>
    <t>Matheus &amp; Theo</t>
  </si>
  <si>
    <t>Rogério</t>
  </si>
  <si>
    <t>Metuda &amp; Rudzzt</t>
  </si>
  <si>
    <t>Metuda</t>
  </si>
  <si>
    <t>Host of Mordor</t>
  </si>
  <si>
    <t>Sonia &amp; Denilson</t>
  </si>
  <si>
    <t>Denilson</t>
  </si>
  <si>
    <t>Oscar &amp; Vinicius</t>
  </si>
  <si>
    <t>Vinicius</t>
  </si>
  <si>
    <t>Martin &amp; Gustavo</t>
  </si>
  <si>
    <t>Gustavo</t>
  </si>
  <si>
    <t>Timey-Wimey</t>
  </si>
  <si>
    <t>liga-2x2-presencial-s3-e6-2</t>
  </si>
  <si>
    <t>Beck &amp; Metusa</t>
  </si>
  <si>
    <t>Matheus &amp; Nicolas</t>
  </si>
  <si>
    <t>Nicolas</t>
  </si>
  <si>
    <t>Nathan &amp; Rogerio</t>
  </si>
  <si>
    <t>Rogerio</t>
  </si>
  <si>
    <t>Peludinho &amp; Zangas</t>
  </si>
  <si>
    <t>Peludinho</t>
  </si>
  <si>
    <t>Lucas &amp; Castanhari</t>
  </si>
  <si>
    <t>Lucas</t>
  </si>
  <si>
    <t>liga-2x2-presencial-s3-e7</t>
  </si>
  <si>
    <t>Maestros Massacre</t>
  </si>
  <si>
    <t>silverquill Statement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</si>
</sst>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1"/>
  <sheetViews>
    <sheetView tabSelected="1" topLeftCell="A106" workbookViewId="0">
      <selection activeCell="H125" sqref="H125"/>
    </sheetView>
  </sheetViews>
  <sheetFormatPr defaultRowHeight="15" x14ac:dyDescent="0.25"/>
  <cols>
    <col min="1" max="1" width="26.42578125" bestFit="1" customWidth="1"/>
    <col min="2" max="2" width="33" bestFit="1" customWidth="1"/>
    <col min="3" max="4" width="19" bestFit="1" customWidth="1"/>
    <col min="5" max="5" width="50.7109375" bestFit="1" customWidth="1"/>
    <col min="6" max="6" width="23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</v>
      </c>
      <c r="B2" t="s">
        <v>7</v>
      </c>
      <c r="C2" t="str">
        <f>TRIM(LEFT(B2,FIND("&amp;",B2)-1))</f>
        <v>Nobru</v>
      </c>
      <c r="D2" t="str">
        <f>TRIM(RIGHT(B2,LEN(B2)-FIND("&amp;",B2)))</f>
        <v>Metusa</v>
      </c>
      <c r="E2" t="s">
        <v>13</v>
      </c>
      <c r="F2" t="s">
        <v>20</v>
      </c>
    </row>
    <row r="3" spans="1:6" x14ac:dyDescent="0.25">
      <c r="A3" t="s">
        <v>6</v>
      </c>
      <c r="B3" t="s">
        <v>8</v>
      </c>
      <c r="C3" t="str">
        <f t="shared" ref="C3:C66" si="0">TRIM(LEFT(B3,FIND("&amp;",B3)-1))</f>
        <v>Langa</v>
      </c>
      <c r="D3" t="str">
        <f t="shared" ref="D3:D11" si="1">TRIM(RIGHT(B3,LEN(B3)-FIND("&amp;",B3)))</f>
        <v>Guga</v>
      </c>
      <c r="E3" t="s">
        <v>15</v>
      </c>
      <c r="F3" t="s">
        <v>16</v>
      </c>
    </row>
    <row r="4" spans="1:6" x14ac:dyDescent="0.25">
      <c r="A4" t="s">
        <v>6</v>
      </c>
      <c r="B4" t="s">
        <v>9</v>
      </c>
      <c r="C4" t="str">
        <f t="shared" si="0"/>
        <v>Teixeira</v>
      </c>
      <c r="D4" t="str">
        <f t="shared" si="1"/>
        <v>Pedro</v>
      </c>
      <c r="E4" t="s">
        <v>17</v>
      </c>
      <c r="F4" t="s">
        <v>15</v>
      </c>
    </row>
    <row r="5" spans="1:6" x14ac:dyDescent="0.25">
      <c r="A5" t="s">
        <v>6</v>
      </c>
      <c r="B5" t="s">
        <v>10</v>
      </c>
      <c r="C5" t="str">
        <f t="shared" si="0"/>
        <v>Martin</v>
      </c>
      <c r="D5" t="str">
        <f t="shared" si="1"/>
        <v>Jorel</v>
      </c>
      <c r="E5" t="s">
        <v>18</v>
      </c>
      <c r="F5" t="s">
        <v>19</v>
      </c>
    </row>
    <row r="6" spans="1:6" x14ac:dyDescent="0.25">
      <c r="A6" t="s">
        <v>6</v>
      </c>
      <c r="B6" t="s">
        <v>11</v>
      </c>
      <c r="C6" t="str">
        <f t="shared" si="0"/>
        <v>Baron</v>
      </c>
      <c r="D6" t="str">
        <f t="shared" si="1"/>
        <v>Dare</v>
      </c>
      <c r="E6" t="s">
        <v>13</v>
      </c>
      <c r="F6" t="s">
        <v>14</v>
      </c>
    </row>
    <row r="7" spans="1:6" x14ac:dyDescent="0.25">
      <c r="A7" t="s">
        <v>6</v>
      </c>
      <c r="B7" t="s">
        <v>12</v>
      </c>
      <c r="C7" t="str">
        <f t="shared" si="0"/>
        <v>Zubk</v>
      </c>
      <c r="D7" t="str">
        <f t="shared" si="1"/>
        <v>Nath</v>
      </c>
      <c r="E7" t="s">
        <v>21</v>
      </c>
      <c r="F7" t="s">
        <v>22</v>
      </c>
    </row>
    <row r="8" spans="1:6" x14ac:dyDescent="0.25">
      <c r="A8" t="s">
        <v>23</v>
      </c>
      <c r="B8" t="s">
        <v>7</v>
      </c>
      <c r="C8" t="str">
        <f t="shared" si="0"/>
        <v>Nobru</v>
      </c>
      <c r="D8" t="str">
        <f t="shared" si="1"/>
        <v>Metusa</v>
      </c>
      <c r="E8" t="s">
        <v>13</v>
      </c>
      <c r="F8" t="s">
        <v>20</v>
      </c>
    </row>
    <row r="9" spans="1:6" x14ac:dyDescent="0.25">
      <c r="A9" t="s">
        <v>23</v>
      </c>
      <c r="B9" t="s">
        <v>24</v>
      </c>
      <c r="C9" t="str">
        <f t="shared" si="0"/>
        <v>Tony</v>
      </c>
      <c r="D9" t="str">
        <f t="shared" si="1"/>
        <v>Oscar</v>
      </c>
      <c r="E9" t="s">
        <v>27</v>
      </c>
      <c r="F9" t="s">
        <v>28</v>
      </c>
    </row>
    <row r="10" spans="1:6" x14ac:dyDescent="0.25">
      <c r="A10" t="s">
        <v>23</v>
      </c>
      <c r="B10" t="s">
        <v>25</v>
      </c>
      <c r="C10" t="str">
        <f t="shared" si="0"/>
        <v>Jorel</v>
      </c>
      <c r="D10" t="str">
        <f t="shared" si="1"/>
        <v>Martin</v>
      </c>
      <c r="E10" t="s">
        <v>29</v>
      </c>
      <c r="F10" t="s">
        <v>30</v>
      </c>
    </row>
    <row r="11" spans="1:6" x14ac:dyDescent="0.25">
      <c r="A11" t="s">
        <v>23</v>
      </c>
      <c r="B11" t="s">
        <v>26</v>
      </c>
      <c r="C11" t="str">
        <f t="shared" si="0"/>
        <v>Fiel</v>
      </c>
      <c r="D11" t="str">
        <f t="shared" si="1"/>
        <v>Werneck</v>
      </c>
      <c r="E11" t="s">
        <v>32</v>
      </c>
      <c r="F11" t="s">
        <v>31</v>
      </c>
    </row>
    <row r="12" spans="1:6" x14ac:dyDescent="0.25">
      <c r="A12" t="s">
        <v>33</v>
      </c>
      <c r="B12" t="s">
        <v>34</v>
      </c>
      <c r="C12" t="str">
        <f t="shared" si="0"/>
        <v>Bauer</v>
      </c>
      <c r="D12" t="str">
        <f t="shared" ref="D12:D31" si="2">TRIM(RIGHT(B12,LEN(B12)-FIND("&amp;",B12)))</f>
        <v>Langa</v>
      </c>
      <c r="E12" t="s">
        <v>15</v>
      </c>
      <c r="F12" t="s">
        <v>39</v>
      </c>
    </row>
    <row r="13" spans="1:6" x14ac:dyDescent="0.25">
      <c r="A13" t="s">
        <v>33</v>
      </c>
      <c r="B13" t="s">
        <v>35</v>
      </c>
      <c r="C13" t="str">
        <f t="shared" si="0"/>
        <v>Rudzzt</v>
      </c>
      <c r="D13" t="str">
        <f t="shared" si="2"/>
        <v>Metusa</v>
      </c>
      <c r="E13" t="s">
        <v>28</v>
      </c>
      <c r="F13" t="s">
        <v>20</v>
      </c>
    </row>
    <row r="14" spans="1:6" x14ac:dyDescent="0.25">
      <c r="A14" t="s">
        <v>33</v>
      </c>
      <c r="B14" t="s">
        <v>25</v>
      </c>
      <c r="C14" t="str">
        <f t="shared" si="0"/>
        <v>Jorel</v>
      </c>
      <c r="D14" t="str">
        <f t="shared" si="2"/>
        <v>Martin</v>
      </c>
      <c r="E14" t="s">
        <v>29</v>
      </c>
      <c r="F14" t="s">
        <v>30</v>
      </c>
    </row>
    <row r="15" spans="1:6" x14ac:dyDescent="0.25">
      <c r="A15" t="s">
        <v>33</v>
      </c>
      <c r="B15" t="s">
        <v>36</v>
      </c>
      <c r="C15" t="str">
        <f t="shared" si="0"/>
        <v>Zangalli</v>
      </c>
      <c r="D15" t="str">
        <f t="shared" si="2"/>
        <v>Zangalli pai</v>
      </c>
      <c r="E15" t="s">
        <v>18</v>
      </c>
      <c r="F15" t="s">
        <v>17</v>
      </c>
    </row>
    <row r="16" spans="1:6" x14ac:dyDescent="0.25">
      <c r="A16" t="s">
        <v>33</v>
      </c>
      <c r="B16" t="s">
        <v>37</v>
      </c>
      <c r="C16" t="str">
        <f t="shared" si="0"/>
        <v>Freire</v>
      </c>
      <c r="D16" t="str">
        <f t="shared" si="2"/>
        <v>Pudeulko</v>
      </c>
      <c r="E16" t="s">
        <v>40</v>
      </c>
      <c r="F16" t="s">
        <v>40</v>
      </c>
    </row>
    <row r="17" spans="1:6" x14ac:dyDescent="0.25">
      <c r="A17" t="s">
        <v>33</v>
      </c>
      <c r="B17" t="s">
        <v>38</v>
      </c>
      <c r="C17" t="str">
        <f t="shared" si="0"/>
        <v>Nobru</v>
      </c>
      <c r="D17" t="str">
        <f t="shared" si="2"/>
        <v>Tarik</v>
      </c>
      <c r="E17" t="s">
        <v>40</v>
      </c>
      <c r="F17" t="s">
        <v>40</v>
      </c>
    </row>
    <row r="18" spans="1:6" x14ac:dyDescent="0.25">
      <c r="A18" t="s">
        <v>41</v>
      </c>
      <c r="B18" t="s">
        <v>42</v>
      </c>
      <c r="C18" t="str">
        <f t="shared" si="0"/>
        <v>Metusa</v>
      </c>
      <c r="D18" t="str">
        <f t="shared" si="2"/>
        <v>Rudi</v>
      </c>
      <c r="E18" t="s">
        <v>28</v>
      </c>
      <c r="F18" t="s">
        <v>20</v>
      </c>
    </row>
    <row r="19" spans="1:6" x14ac:dyDescent="0.25">
      <c r="A19" t="s">
        <v>41</v>
      </c>
      <c r="B19" t="s">
        <v>43</v>
      </c>
      <c r="C19" t="str">
        <f t="shared" si="0"/>
        <v>Carlos</v>
      </c>
      <c r="D19" t="str">
        <f t="shared" si="2"/>
        <v>Mel</v>
      </c>
      <c r="E19" t="s">
        <v>13</v>
      </c>
      <c r="F19" t="s">
        <v>49</v>
      </c>
    </row>
    <row r="20" spans="1:6" x14ac:dyDescent="0.25">
      <c r="A20" t="s">
        <v>41</v>
      </c>
      <c r="B20" t="s">
        <v>44</v>
      </c>
      <c r="C20" t="str">
        <f t="shared" si="0"/>
        <v>Matheus</v>
      </c>
      <c r="D20" t="str">
        <f t="shared" si="2"/>
        <v>luciano</v>
      </c>
      <c r="E20" t="s">
        <v>30</v>
      </c>
      <c r="F20" t="s">
        <v>39</v>
      </c>
    </row>
    <row r="21" spans="1:6" x14ac:dyDescent="0.25">
      <c r="A21" t="s">
        <v>41</v>
      </c>
      <c r="B21" t="s">
        <v>47</v>
      </c>
      <c r="C21" t="s">
        <v>47</v>
      </c>
      <c r="D21" t="s">
        <v>47</v>
      </c>
      <c r="E21" t="s">
        <v>48</v>
      </c>
      <c r="F21" t="s">
        <v>20</v>
      </c>
    </row>
    <row r="22" spans="1:6" x14ac:dyDescent="0.25">
      <c r="A22" t="s">
        <v>41</v>
      </c>
      <c r="B22" t="s">
        <v>45</v>
      </c>
      <c r="C22" t="str">
        <f t="shared" si="0"/>
        <v>Nobru</v>
      </c>
      <c r="D22" t="str">
        <f t="shared" si="2"/>
        <v>tarik</v>
      </c>
      <c r="E22" t="s">
        <v>48</v>
      </c>
      <c r="F22" t="s">
        <v>30</v>
      </c>
    </row>
    <row r="23" spans="1:6" x14ac:dyDescent="0.25">
      <c r="A23" t="s">
        <v>41</v>
      </c>
      <c r="B23" t="s">
        <v>46</v>
      </c>
      <c r="C23" t="str">
        <f t="shared" si="0"/>
        <v>Aleksander</v>
      </c>
      <c r="D23" t="str">
        <f t="shared" si="2"/>
        <v>Luisa</v>
      </c>
      <c r="E23" t="s">
        <v>40</v>
      </c>
      <c r="F23" t="s">
        <v>40</v>
      </c>
    </row>
    <row r="24" spans="1:6" x14ac:dyDescent="0.25">
      <c r="A24" t="s">
        <v>56</v>
      </c>
      <c r="B24" t="s">
        <v>25</v>
      </c>
      <c r="C24" t="str">
        <f t="shared" si="0"/>
        <v>Jorel</v>
      </c>
      <c r="D24" t="str">
        <f t="shared" si="2"/>
        <v>Martin</v>
      </c>
      <c r="E24" t="s">
        <v>48</v>
      </c>
      <c r="F24" t="s">
        <v>18</v>
      </c>
    </row>
    <row r="25" spans="1:6" x14ac:dyDescent="0.25">
      <c r="A25" t="s">
        <v>56</v>
      </c>
      <c r="B25" t="s">
        <v>50</v>
      </c>
      <c r="C25" t="str">
        <f t="shared" si="0"/>
        <v>Langa</v>
      </c>
      <c r="D25" t="str">
        <f t="shared" si="2"/>
        <v>Murilo Ferreira</v>
      </c>
      <c r="E25" t="s">
        <v>48</v>
      </c>
      <c r="F25" t="s">
        <v>15</v>
      </c>
    </row>
    <row r="26" spans="1:6" x14ac:dyDescent="0.25">
      <c r="A26" t="s">
        <v>56</v>
      </c>
      <c r="B26" t="s">
        <v>35</v>
      </c>
      <c r="C26" t="str">
        <f t="shared" si="0"/>
        <v>Rudzzt</v>
      </c>
      <c r="D26" t="str">
        <f t="shared" si="2"/>
        <v>Metusa</v>
      </c>
      <c r="E26" t="s">
        <v>28</v>
      </c>
      <c r="F26" t="s">
        <v>20</v>
      </c>
    </row>
    <row r="27" spans="1:6" x14ac:dyDescent="0.25">
      <c r="A27" t="s">
        <v>56</v>
      </c>
      <c r="B27" t="s">
        <v>51</v>
      </c>
      <c r="C27" t="str">
        <f t="shared" si="0"/>
        <v>Melke</v>
      </c>
      <c r="D27" t="str">
        <f t="shared" si="2"/>
        <v>Gustavo Dias</v>
      </c>
      <c r="E27" t="s">
        <v>30</v>
      </c>
      <c r="F27" t="s">
        <v>58</v>
      </c>
    </row>
    <row r="28" spans="1:6" x14ac:dyDescent="0.25">
      <c r="A28" t="s">
        <v>56</v>
      </c>
      <c r="B28" t="s">
        <v>52</v>
      </c>
      <c r="C28" t="str">
        <f t="shared" si="0"/>
        <v>Bauer</v>
      </c>
      <c r="D28" t="str">
        <f t="shared" si="2"/>
        <v>Kennao</v>
      </c>
      <c r="E28" t="s">
        <v>57</v>
      </c>
      <c r="F28" t="s">
        <v>39</v>
      </c>
    </row>
    <row r="29" spans="1:6" x14ac:dyDescent="0.25">
      <c r="A29" t="s">
        <v>56</v>
      </c>
      <c r="B29" t="s">
        <v>53</v>
      </c>
      <c r="C29" t="str">
        <f t="shared" si="0"/>
        <v>Theo</v>
      </c>
      <c r="D29" t="str">
        <f t="shared" si="2"/>
        <v>Leonardo</v>
      </c>
      <c r="E29" t="s">
        <v>48</v>
      </c>
      <c r="F29" t="s">
        <v>39</v>
      </c>
    </row>
    <row r="30" spans="1:6" x14ac:dyDescent="0.25">
      <c r="A30" t="s">
        <v>56</v>
      </c>
      <c r="B30" t="s">
        <v>54</v>
      </c>
      <c r="C30" t="str">
        <f t="shared" si="0"/>
        <v>Matheus Assis</v>
      </c>
      <c r="D30" t="str">
        <f t="shared" si="2"/>
        <v>Luciano</v>
      </c>
      <c r="E30" t="s">
        <v>27</v>
      </c>
      <c r="F30" t="s">
        <v>60</v>
      </c>
    </row>
    <row r="31" spans="1:6" x14ac:dyDescent="0.25">
      <c r="A31" t="s">
        <v>56</v>
      </c>
      <c r="B31" t="s">
        <v>55</v>
      </c>
      <c r="C31" t="str">
        <f t="shared" si="0"/>
        <v>Nobru</v>
      </c>
      <c r="D31" t="str">
        <f t="shared" si="2"/>
        <v>Nicolas</v>
      </c>
      <c r="E31" t="s">
        <v>15</v>
      </c>
      <c r="F31" t="s">
        <v>59</v>
      </c>
    </row>
    <row r="32" spans="1:6" x14ac:dyDescent="0.25">
      <c r="A32" t="s">
        <v>67</v>
      </c>
      <c r="B32" t="s">
        <v>61</v>
      </c>
      <c r="C32" t="str">
        <f t="shared" si="0"/>
        <v>Zangalli</v>
      </c>
      <c r="D32" t="str">
        <f t="shared" ref="D32:D39" si="3">TRIM(RIGHT(B32,LEN(B32)-FIND("&amp;",B32)))</f>
        <v>Vina</v>
      </c>
      <c r="E32" t="s">
        <v>31</v>
      </c>
      <c r="F32" t="s">
        <v>28</v>
      </c>
    </row>
    <row r="33" spans="1:6" x14ac:dyDescent="0.25">
      <c r="A33" t="s">
        <v>67</v>
      </c>
      <c r="B33" t="s">
        <v>10</v>
      </c>
      <c r="C33" t="str">
        <f t="shared" si="0"/>
        <v>Martin</v>
      </c>
      <c r="D33" t="str">
        <f t="shared" si="3"/>
        <v>Jorel</v>
      </c>
      <c r="E33" t="s">
        <v>48</v>
      </c>
      <c r="F33" t="s">
        <v>18</v>
      </c>
    </row>
    <row r="34" spans="1:6" x14ac:dyDescent="0.25">
      <c r="A34" t="s">
        <v>67</v>
      </c>
      <c r="B34" t="s">
        <v>35</v>
      </c>
      <c r="C34" t="str">
        <f t="shared" si="0"/>
        <v>Rudzzt</v>
      </c>
      <c r="D34" t="str">
        <f t="shared" si="3"/>
        <v>Metusa</v>
      </c>
      <c r="E34" t="s">
        <v>28</v>
      </c>
      <c r="F34" t="s">
        <v>20</v>
      </c>
    </row>
    <row r="35" spans="1:6" x14ac:dyDescent="0.25">
      <c r="A35" t="s">
        <v>67</v>
      </c>
      <c r="B35" t="s">
        <v>62</v>
      </c>
      <c r="C35" t="str">
        <f t="shared" si="0"/>
        <v>Melke</v>
      </c>
      <c r="D35" t="str">
        <f t="shared" si="3"/>
        <v>Sônia</v>
      </c>
      <c r="E35" t="s">
        <v>68</v>
      </c>
      <c r="F35" t="s">
        <v>17</v>
      </c>
    </row>
    <row r="36" spans="1:6" x14ac:dyDescent="0.25">
      <c r="A36" t="s">
        <v>67</v>
      </c>
      <c r="B36" t="s">
        <v>63</v>
      </c>
      <c r="C36" t="str">
        <f t="shared" si="0"/>
        <v>Banshee</v>
      </c>
      <c r="D36" t="str">
        <f t="shared" si="3"/>
        <v>Gabi</v>
      </c>
      <c r="E36" t="s">
        <v>69</v>
      </c>
      <c r="F36" t="s">
        <v>58</v>
      </c>
    </row>
    <row r="37" spans="1:6" x14ac:dyDescent="0.25">
      <c r="A37" t="s">
        <v>67</v>
      </c>
      <c r="B37" t="s">
        <v>64</v>
      </c>
      <c r="C37" t="str">
        <f t="shared" si="0"/>
        <v>Matheus</v>
      </c>
      <c r="D37" t="str">
        <f t="shared" si="3"/>
        <v>Murilo</v>
      </c>
      <c r="E37" t="s">
        <v>48</v>
      </c>
      <c r="F37" t="s">
        <v>28</v>
      </c>
    </row>
    <row r="38" spans="1:6" x14ac:dyDescent="0.25">
      <c r="A38" t="s">
        <v>67</v>
      </c>
      <c r="B38" t="s">
        <v>65</v>
      </c>
      <c r="C38" t="str">
        <f t="shared" si="0"/>
        <v>Nobru</v>
      </c>
      <c r="D38" t="str">
        <f t="shared" si="3"/>
        <v>Guga</v>
      </c>
      <c r="E38" t="s">
        <v>15</v>
      </c>
      <c r="F38" t="s">
        <v>58</v>
      </c>
    </row>
    <row r="39" spans="1:6" x14ac:dyDescent="0.25">
      <c r="A39" t="s">
        <v>67</v>
      </c>
      <c r="B39" t="s">
        <v>66</v>
      </c>
      <c r="C39" t="str">
        <f t="shared" si="0"/>
        <v>Manfrinato</v>
      </c>
      <c r="D39" t="str">
        <f t="shared" si="3"/>
        <v>Melissa</v>
      </c>
      <c r="E39" t="s">
        <v>70</v>
      </c>
      <c r="F39" t="s">
        <v>49</v>
      </c>
    </row>
    <row r="40" spans="1:6" x14ac:dyDescent="0.25">
      <c r="A40" t="s">
        <v>71</v>
      </c>
      <c r="B40" t="s">
        <v>72</v>
      </c>
      <c r="C40" t="str">
        <f t="shared" si="0"/>
        <v>Murilo Oyafuso</v>
      </c>
      <c r="D40" t="str">
        <f t="shared" ref="D40:D44" si="4">TRIM(RIGHT(B40,LEN(B40)-FIND("&amp;",B40)))</f>
        <v>Castanhari</v>
      </c>
      <c r="E40" t="s">
        <v>76</v>
      </c>
      <c r="F40" t="s">
        <v>48</v>
      </c>
    </row>
    <row r="41" spans="1:6" x14ac:dyDescent="0.25">
      <c r="A41" t="s">
        <v>71</v>
      </c>
      <c r="B41" t="s">
        <v>10</v>
      </c>
      <c r="C41" t="str">
        <f t="shared" si="0"/>
        <v>Martin</v>
      </c>
      <c r="D41" t="str">
        <f t="shared" si="4"/>
        <v>Jorel</v>
      </c>
      <c r="E41" t="s">
        <v>48</v>
      </c>
      <c r="F41" t="s">
        <v>30</v>
      </c>
    </row>
    <row r="42" spans="1:6" x14ac:dyDescent="0.25">
      <c r="A42" t="s">
        <v>71</v>
      </c>
      <c r="B42" t="s">
        <v>73</v>
      </c>
      <c r="C42" t="str">
        <f t="shared" si="0"/>
        <v>Oscar</v>
      </c>
      <c r="D42" t="str">
        <f t="shared" si="4"/>
        <v>Anthony</v>
      </c>
      <c r="E42" t="s">
        <v>27</v>
      </c>
      <c r="F42" t="s">
        <v>77</v>
      </c>
    </row>
    <row r="43" spans="1:6" x14ac:dyDescent="0.25">
      <c r="A43" t="s">
        <v>71</v>
      </c>
      <c r="B43" t="s">
        <v>74</v>
      </c>
      <c r="C43" t="str">
        <f t="shared" si="0"/>
        <v>Metusa</v>
      </c>
      <c r="D43" t="str">
        <f t="shared" si="4"/>
        <v>Rud</v>
      </c>
      <c r="E43" t="s">
        <v>77</v>
      </c>
      <c r="F43" t="s">
        <v>78</v>
      </c>
    </row>
    <row r="44" spans="1:6" x14ac:dyDescent="0.25">
      <c r="A44" t="s">
        <v>71</v>
      </c>
      <c r="B44" t="s">
        <v>75</v>
      </c>
      <c r="C44" t="str">
        <f t="shared" si="0"/>
        <v>Matheus</v>
      </c>
      <c r="D44" t="str">
        <f t="shared" si="4"/>
        <v>Romano</v>
      </c>
      <c r="E44" t="s">
        <v>40</v>
      </c>
      <c r="F44" t="s">
        <v>40</v>
      </c>
    </row>
    <row r="45" spans="1:6" x14ac:dyDescent="0.25">
      <c r="A45" t="s">
        <v>79</v>
      </c>
      <c r="B45" t="s">
        <v>25</v>
      </c>
      <c r="C45" t="str">
        <f t="shared" si="0"/>
        <v>Jorel</v>
      </c>
      <c r="D45" t="str">
        <f t="shared" ref="D45:D52" si="5">TRIM(RIGHT(B45,LEN(B45)-FIND("&amp;",B45)))</f>
        <v>Martin</v>
      </c>
      <c r="E45" t="s">
        <v>48</v>
      </c>
      <c r="F45" t="s">
        <v>30</v>
      </c>
    </row>
    <row r="46" spans="1:6" x14ac:dyDescent="0.25">
      <c r="A46" t="s">
        <v>79</v>
      </c>
      <c r="B46" t="s">
        <v>80</v>
      </c>
      <c r="C46" t="str">
        <f t="shared" si="0"/>
        <v>Melk</v>
      </c>
      <c r="D46" t="str">
        <f t="shared" si="5"/>
        <v>Sônia</v>
      </c>
      <c r="E46" t="s">
        <v>17</v>
      </c>
      <c r="F46" t="s">
        <v>18</v>
      </c>
    </row>
    <row r="47" spans="1:6" x14ac:dyDescent="0.25">
      <c r="A47" t="s">
        <v>79</v>
      </c>
      <c r="B47" t="s">
        <v>81</v>
      </c>
      <c r="C47" t="str">
        <f t="shared" si="0"/>
        <v>Zangalli</v>
      </c>
      <c r="D47" t="str">
        <f t="shared" si="5"/>
        <v>Cheury</v>
      </c>
      <c r="E47" t="s">
        <v>87</v>
      </c>
      <c r="F47" t="s">
        <v>31</v>
      </c>
    </row>
    <row r="48" spans="1:6" x14ac:dyDescent="0.25">
      <c r="A48" t="s">
        <v>79</v>
      </c>
      <c r="B48" t="s">
        <v>82</v>
      </c>
      <c r="C48" t="str">
        <f t="shared" si="0"/>
        <v>Matheus</v>
      </c>
      <c r="D48" t="str">
        <f t="shared" si="5"/>
        <v>Johann</v>
      </c>
      <c r="E48" t="s">
        <v>27</v>
      </c>
      <c r="F48" t="s">
        <v>17</v>
      </c>
    </row>
    <row r="49" spans="1:6" x14ac:dyDescent="0.25">
      <c r="A49" t="s">
        <v>79</v>
      </c>
      <c r="B49" t="s">
        <v>83</v>
      </c>
      <c r="C49" t="str">
        <f t="shared" si="0"/>
        <v>Metusalem</v>
      </c>
      <c r="D49" t="str">
        <f t="shared" si="5"/>
        <v>Ruddzt</v>
      </c>
      <c r="E49" t="s">
        <v>88</v>
      </c>
      <c r="F49" t="s">
        <v>30</v>
      </c>
    </row>
    <row r="50" spans="1:6" x14ac:dyDescent="0.25">
      <c r="A50" t="s">
        <v>79</v>
      </c>
      <c r="B50" t="s">
        <v>84</v>
      </c>
      <c r="C50" t="str">
        <f t="shared" si="0"/>
        <v>Oscar</v>
      </c>
      <c r="D50" t="str">
        <f t="shared" si="5"/>
        <v>Vini</v>
      </c>
      <c r="E50" t="s">
        <v>39</v>
      </c>
      <c r="F50" t="s">
        <v>17</v>
      </c>
    </row>
    <row r="51" spans="1:6" x14ac:dyDescent="0.25">
      <c r="A51" t="s">
        <v>79</v>
      </c>
      <c r="B51" t="s">
        <v>85</v>
      </c>
      <c r="C51" t="str">
        <f t="shared" si="0"/>
        <v>Berka</v>
      </c>
      <c r="D51" t="str">
        <f t="shared" si="5"/>
        <v>Nobru</v>
      </c>
      <c r="E51" t="s">
        <v>32</v>
      </c>
      <c r="F51" t="s">
        <v>48</v>
      </c>
    </row>
    <row r="52" spans="1:6" x14ac:dyDescent="0.25">
      <c r="A52" t="s">
        <v>79</v>
      </c>
      <c r="B52" t="s">
        <v>86</v>
      </c>
      <c r="C52" t="str">
        <f t="shared" si="0"/>
        <v>Theo</v>
      </c>
      <c r="D52" t="str">
        <f t="shared" si="5"/>
        <v>André</v>
      </c>
      <c r="E52" t="s">
        <v>19</v>
      </c>
      <c r="F52" t="s">
        <v>76</v>
      </c>
    </row>
    <row r="53" spans="1:6" x14ac:dyDescent="0.25">
      <c r="A53" t="s">
        <v>95</v>
      </c>
      <c r="B53" t="s">
        <v>83</v>
      </c>
      <c r="C53" t="str">
        <f t="shared" si="0"/>
        <v>Metusalem</v>
      </c>
      <c r="D53" t="str">
        <f t="shared" ref="D53:D61" si="6">TRIM(RIGHT(B53,LEN(B53)-FIND("&amp;",B53)))</f>
        <v>Ruddzt</v>
      </c>
      <c r="E53" t="s">
        <v>78</v>
      </c>
      <c r="F53" t="s">
        <v>20</v>
      </c>
    </row>
    <row r="54" spans="1:6" x14ac:dyDescent="0.25">
      <c r="A54" t="s">
        <v>95</v>
      </c>
      <c r="B54" t="s">
        <v>89</v>
      </c>
      <c r="C54" t="str">
        <f t="shared" si="0"/>
        <v>Murilo Oyafuso</v>
      </c>
      <c r="D54" t="str">
        <f t="shared" si="6"/>
        <v>Arthur Castanhari</v>
      </c>
      <c r="E54" t="s">
        <v>28</v>
      </c>
      <c r="F54" t="s">
        <v>96</v>
      </c>
    </row>
    <row r="55" spans="1:6" x14ac:dyDescent="0.25">
      <c r="A55" t="s">
        <v>95</v>
      </c>
      <c r="B55" t="s">
        <v>90</v>
      </c>
      <c r="C55" t="str">
        <f t="shared" si="0"/>
        <v>Carlos Kit</v>
      </c>
      <c r="D55" t="str">
        <f t="shared" si="6"/>
        <v>Gustavo Dias</v>
      </c>
      <c r="E55" t="s">
        <v>97</v>
      </c>
      <c r="F55" t="s">
        <v>39</v>
      </c>
    </row>
    <row r="56" spans="1:6" x14ac:dyDescent="0.25">
      <c r="A56" t="s">
        <v>95</v>
      </c>
      <c r="B56" t="s">
        <v>25</v>
      </c>
      <c r="C56" t="str">
        <f t="shared" si="0"/>
        <v>Jorel</v>
      </c>
      <c r="D56" t="str">
        <f t="shared" si="6"/>
        <v>Martin</v>
      </c>
      <c r="E56" t="s">
        <v>48</v>
      </c>
      <c r="F56" t="s">
        <v>30</v>
      </c>
    </row>
    <row r="57" spans="1:6" x14ac:dyDescent="0.25">
      <c r="A57" t="s">
        <v>95</v>
      </c>
      <c r="B57" t="s">
        <v>91</v>
      </c>
      <c r="C57" t="str">
        <f t="shared" si="0"/>
        <v>Nobru</v>
      </c>
      <c r="D57" t="str">
        <f t="shared" si="6"/>
        <v>Melk</v>
      </c>
      <c r="E57" t="s">
        <v>21</v>
      </c>
      <c r="F57" t="s">
        <v>40</v>
      </c>
    </row>
    <row r="58" spans="1:6" x14ac:dyDescent="0.25">
      <c r="A58" t="s">
        <v>95</v>
      </c>
      <c r="B58" t="s">
        <v>92</v>
      </c>
      <c r="C58" t="str">
        <f t="shared" si="0"/>
        <v>Eduardo</v>
      </c>
      <c r="D58" t="str">
        <f t="shared" si="6"/>
        <v>Luís Zangalli</v>
      </c>
      <c r="E58" t="s">
        <v>40</v>
      </c>
      <c r="F58" t="s">
        <v>40</v>
      </c>
    </row>
    <row r="59" spans="1:6" x14ac:dyDescent="0.25">
      <c r="A59" t="s">
        <v>95</v>
      </c>
      <c r="B59" t="s">
        <v>93</v>
      </c>
      <c r="C59" t="str">
        <f t="shared" si="0"/>
        <v>Ewerson</v>
      </c>
      <c r="D59" t="str">
        <f t="shared" si="6"/>
        <v>Gabriel</v>
      </c>
      <c r="E59" t="s">
        <v>40</v>
      </c>
      <c r="F59" t="s">
        <v>40</v>
      </c>
    </row>
    <row r="60" spans="1:6" x14ac:dyDescent="0.25">
      <c r="A60" t="s">
        <v>95</v>
      </c>
      <c r="B60" t="s">
        <v>94</v>
      </c>
      <c r="C60" t="str">
        <f t="shared" si="0"/>
        <v>André</v>
      </c>
      <c r="D60" t="str">
        <f t="shared" si="6"/>
        <v>Matheus</v>
      </c>
      <c r="E60" t="s">
        <v>19</v>
      </c>
      <c r="F60" t="s">
        <v>49</v>
      </c>
    </row>
    <row r="61" spans="1:6" x14ac:dyDescent="0.25">
      <c r="A61" t="s">
        <v>95</v>
      </c>
      <c r="B61" t="s">
        <v>84</v>
      </c>
      <c r="C61" t="str">
        <f t="shared" si="0"/>
        <v>Oscar</v>
      </c>
      <c r="D61" t="str">
        <f t="shared" si="6"/>
        <v>Vini</v>
      </c>
      <c r="E61" t="s">
        <v>39</v>
      </c>
      <c r="F61" t="s">
        <v>17</v>
      </c>
    </row>
    <row r="62" spans="1:6" x14ac:dyDescent="0.25">
      <c r="A62" t="s">
        <v>105</v>
      </c>
      <c r="B62" t="s">
        <v>98</v>
      </c>
      <c r="C62" t="str">
        <f t="shared" si="0"/>
        <v>Sonia</v>
      </c>
      <c r="D62" t="str">
        <f t="shared" ref="D62:D69" si="7">TRIM(RIGHT(B62,LEN(B62)-FIND("&amp;",B62)))</f>
        <v>Melk</v>
      </c>
      <c r="E62" t="s">
        <v>106</v>
      </c>
      <c r="F62" t="s">
        <v>17</v>
      </c>
    </row>
    <row r="63" spans="1:6" x14ac:dyDescent="0.25">
      <c r="A63" t="s">
        <v>105</v>
      </c>
      <c r="B63" t="s">
        <v>99</v>
      </c>
      <c r="C63" t="str">
        <f t="shared" si="0"/>
        <v>Gustavo dias</v>
      </c>
      <c r="D63" t="str">
        <f t="shared" si="7"/>
        <v>Gustavo taverna</v>
      </c>
      <c r="E63" t="s">
        <v>40</v>
      </c>
      <c r="F63" t="s">
        <v>40</v>
      </c>
    </row>
    <row r="64" spans="1:6" x14ac:dyDescent="0.25">
      <c r="A64" t="s">
        <v>105</v>
      </c>
      <c r="B64" t="s">
        <v>100</v>
      </c>
      <c r="C64" t="str">
        <f t="shared" si="0"/>
        <v>Martin</v>
      </c>
      <c r="D64" t="str">
        <f t="shared" si="7"/>
        <v>Banshee</v>
      </c>
      <c r="E64" t="s">
        <v>107</v>
      </c>
      <c r="F64" t="s">
        <v>108</v>
      </c>
    </row>
    <row r="65" spans="1:6" x14ac:dyDescent="0.25">
      <c r="A65" t="s">
        <v>105</v>
      </c>
      <c r="B65" t="s">
        <v>101</v>
      </c>
      <c r="C65" t="str">
        <f t="shared" si="0"/>
        <v>Furiatti</v>
      </c>
      <c r="D65" t="str">
        <f t="shared" si="7"/>
        <v>Nakamura</v>
      </c>
      <c r="E65" t="s">
        <v>27</v>
      </c>
      <c r="F65" t="s">
        <v>13</v>
      </c>
    </row>
    <row r="66" spans="1:6" x14ac:dyDescent="0.25">
      <c r="A66" t="s">
        <v>105</v>
      </c>
      <c r="B66" t="s">
        <v>102</v>
      </c>
      <c r="C66" t="str">
        <f t="shared" si="0"/>
        <v>Fabi</v>
      </c>
      <c r="D66" t="str">
        <f t="shared" si="7"/>
        <v>João Marmentini</v>
      </c>
      <c r="E66" t="s">
        <v>13</v>
      </c>
      <c r="F66" t="s">
        <v>58</v>
      </c>
    </row>
    <row r="67" spans="1:6" x14ac:dyDescent="0.25">
      <c r="A67" t="s">
        <v>105</v>
      </c>
      <c r="B67" t="s">
        <v>103</v>
      </c>
      <c r="C67" t="str">
        <f t="shared" ref="C67:C113" si="8">TRIM(LEFT(B67,FIND("&amp;",B67)-1))</f>
        <v>Metusa</v>
      </c>
      <c r="D67" t="str">
        <f t="shared" si="7"/>
        <v>Ruddzt</v>
      </c>
      <c r="E67" t="s">
        <v>109</v>
      </c>
      <c r="F67" t="s">
        <v>78</v>
      </c>
    </row>
    <row r="68" spans="1:6" x14ac:dyDescent="0.25">
      <c r="A68" t="s">
        <v>105</v>
      </c>
      <c r="B68" t="s">
        <v>84</v>
      </c>
      <c r="C68" t="str">
        <f t="shared" si="8"/>
        <v>Oscar</v>
      </c>
      <c r="D68" t="str">
        <f t="shared" si="7"/>
        <v>Vini</v>
      </c>
      <c r="E68" t="s">
        <v>31</v>
      </c>
      <c r="F68" t="s">
        <v>17</v>
      </c>
    </row>
    <row r="69" spans="1:6" x14ac:dyDescent="0.25">
      <c r="A69" t="s">
        <v>105</v>
      </c>
      <c r="B69" t="s">
        <v>104</v>
      </c>
      <c r="C69" t="str">
        <f t="shared" si="8"/>
        <v>Romano</v>
      </c>
      <c r="D69" t="str">
        <f t="shared" si="7"/>
        <v>Matheus</v>
      </c>
      <c r="E69" t="s">
        <v>109</v>
      </c>
      <c r="F69" t="s">
        <v>110</v>
      </c>
    </row>
    <row r="70" spans="1:6" x14ac:dyDescent="0.25">
      <c r="A70" t="s">
        <v>114</v>
      </c>
      <c r="B70" t="s">
        <v>111</v>
      </c>
      <c r="C70" t="str">
        <f t="shared" si="8"/>
        <v>Jorel</v>
      </c>
      <c r="D70" t="str">
        <f t="shared" ref="D70:D75" si="9">TRIM(RIGHT(B70,LEN(B70)-FIND("&amp;",B70)))</f>
        <v>Banshee</v>
      </c>
      <c r="E70" t="s">
        <v>115</v>
      </c>
      <c r="F70" t="s">
        <v>76</v>
      </c>
    </row>
    <row r="71" spans="1:6" x14ac:dyDescent="0.25">
      <c r="A71" t="s">
        <v>114</v>
      </c>
      <c r="B71" t="s">
        <v>112</v>
      </c>
      <c r="C71" t="str">
        <f t="shared" si="8"/>
        <v>Melk</v>
      </c>
      <c r="D71" t="str">
        <f t="shared" si="9"/>
        <v>Sonia</v>
      </c>
      <c r="E71" t="s">
        <v>116</v>
      </c>
      <c r="F71" t="s">
        <v>17</v>
      </c>
    </row>
    <row r="72" spans="1:6" x14ac:dyDescent="0.25">
      <c r="A72" t="s">
        <v>114</v>
      </c>
      <c r="B72" t="s">
        <v>103</v>
      </c>
      <c r="C72" t="str">
        <f t="shared" si="8"/>
        <v>Metusa</v>
      </c>
      <c r="D72" t="str">
        <f t="shared" si="9"/>
        <v>Ruddzt</v>
      </c>
      <c r="E72" t="s">
        <v>117</v>
      </c>
      <c r="F72" t="s">
        <v>118</v>
      </c>
    </row>
    <row r="73" spans="1:6" x14ac:dyDescent="0.25">
      <c r="A73" t="s">
        <v>114</v>
      </c>
      <c r="B73" t="s">
        <v>113</v>
      </c>
      <c r="C73" t="str">
        <f t="shared" si="8"/>
        <v>Matheus</v>
      </c>
      <c r="D73" t="str">
        <f t="shared" si="9"/>
        <v>Beck</v>
      </c>
      <c r="E73" t="s">
        <v>27</v>
      </c>
      <c r="F73" t="s">
        <v>15</v>
      </c>
    </row>
    <row r="74" spans="1:6" x14ac:dyDescent="0.25">
      <c r="A74" t="s">
        <v>114</v>
      </c>
      <c r="B74" t="s">
        <v>84</v>
      </c>
      <c r="C74" t="str">
        <f t="shared" si="8"/>
        <v>Oscar</v>
      </c>
      <c r="D74" t="str">
        <f t="shared" si="9"/>
        <v>Vini</v>
      </c>
      <c r="E74" t="s">
        <v>115</v>
      </c>
      <c r="F74" t="s">
        <v>17</v>
      </c>
    </row>
    <row r="75" spans="1:6" x14ac:dyDescent="0.25">
      <c r="A75" t="s">
        <v>114</v>
      </c>
      <c r="B75" t="s">
        <v>89</v>
      </c>
      <c r="C75" t="str">
        <f t="shared" si="8"/>
        <v>Murilo Oyafuso</v>
      </c>
      <c r="D75" t="str">
        <f t="shared" si="9"/>
        <v>Arthur Castanhari</v>
      </c>
      <c r="E75" t="s">
        <v>109</v>
      </c>
      <c r="F75" t="s">
        <v>110</v>
      </c>
    </row>
    <row r="76" spans="1:6" x14ac:dyDescent="0.25">
      <c r="A76" t="s">
        <v>124</v>
      </c>
      <c r="B76" t="s">
        <v>25</v>
      </c>
      <c r="C76" t="str">
        <f t="shared" si="8"/>
        <v>Jorel</v>
      </c>
      <c r="D76" t="str">
        <f t="shared" ref="D76:D84" si="10">TRIM(RIGHT(B76,LEN(B76)-FIND("&amp;",B76)))</f>
        <v>Martin</v>
      </c>
      <c r="E76" t="s">
        <v>109</v>
      </c>
      <c r="F76" t="s">
        <v>107</v>
      </c>
    </row>
    <row r="77" spans="1:6" x14ac:dyDescent="0.25">
      <c r="A77" t="s">
        <v>124</v>
      </c>
      <c r="B77" t="s">
        <v>119</v>
      </c>
      <c r="C77" t="str">
        <f t="shared" si="8"/>
        <v>Murilo</v>
      </c>
      <c r="D77" t="str">
        <f t="shared" si="10"/>
        <v>Arthur</v>
      </c>
      <c r="E77" t="s">
        <v>110</v>
      </c>
      <c r="F77" t="s">
        <v>48</v>
      </c>
    </row>
    <row r="78" spans="1:6" x14ac:dyDescent="0.25">
      <c r="A78" t="s">
        <v>124</v>
      </c>
      <c r="B78" t="s">
        <v>120</v>
      </c>
      <c r="C78" t="str">
        <f t="shared" si="8"/>
        <v>Banshee</v>
      </c>
      <c r="D78" t="str">
        <f t="shared" si="10"/>
        <v>Ruanito</v>
      </c>
      <c r="E78" t="s">
        <v>108</v>
      </c>
      <c r="F78" t="s">
        <v>48</v>
      </c>
    </row>
    <row r="79" spans="1:6" x14ac:dyDescent="0.25">
      <c r="A79" t="s">
        <v>124</v>
      </c>
      <c r="B79" t="s">
        <v>103</v>
      </c>
      <c r="C79" t="str">
        <f t="shared" si="8"/>
        <v>Metusa</v>
      </c>
      <c r="D79" t="str">
        <f t="shared" si="10"/>
        <v>Ruddzt</v>
      </c>
      <c r="E79" t="s">
        <v>117</v>
      </c>
      <c r="F79" t="s">
        <v>30</v>
      </c>
    </row>
    <row r="80" spans="1:6" x14ac:dyDescent="0.25">
      <c r="A80" t="s">
        <v>124</v>
      </c>
      <c r="B80" t="s">
        <v>121</v>
      </c>
      <c r="C80" t="str">
        <f t="shared" si="8"/>
        <v>Beck</v>
      </c>
      <c r="D80" t="str">
        <f t="shared" si="10"/>
        <v>Gus</v>
      </c>
      <c r="E80" t="s">
        <v>125</v>
      </c>
      <c r="F80" t="s">
        <v>15</v>
      </c>
    </row>
    <row r="81" spans="1:6" x14ac:dyDescent="0.25">
      <c r="A81" t="s">
        <v>124</v>
      </c>
      <c r="B81" t="s">
        <v>112</v>
      </c>
      <c r="C81" t="str">
        <f t="shared" si="8"/>
        <v>Melk</v>
      </c>
      <c r="D81" t="str">
        <f t="shared" si="10"/>
        <v>Sonia</v>
      </c>
      <c r="E81" t="s">
        <v>28</v>
      </c>
      <c r="F81" t="s">
        <v>17</v>
      </c>
    </row>
    <row r="82" spans="1:6" x14ac:dyDescent="0.25">
      <c r="A82" t="s">
        <v>124</v>
      </c>
      <c r="B82" t="s">
        <v>122</v>
      </c>
      <c r="C82" t="str">
        <f t="shared" si="8"/>
        <v>Rogério</v>
      </c>
      <c r="D82" t="str">
        <f t="shared" si="10"/>
        <v>Nathan</v>
      </c>
      <c r="E82" t="s">
        <v>15</v>
      </c>
      <c r="F82" t="s">
        <v>107</v>
      </c>
    </row>
    <row r="83" spans="1:6" x14ac:dyDescent="0.25">
      <c r="A83" t="s">
        <v>124</v>
      </c>
      <c r="B83" t="s">
        <v>123</v>
      </c>
      <c r="C83" t="str">
        <f t="shared" si="8"/>
        <v>Zangalli</v>
      </c>
      <c r="D83" t="str">
        <f t="shared" si="10"/>
        <v>Clausius</v>
      </c>
      <c r="E83" t="s">
        <v>77</v>
      </c>
      <c r="F83" t="s">
        <v>108</v>
      </c>
    </row>
    <row r="84" spans="1:6" x14ac:dyDescent="0.25">
      <c r="A84" t="s">
        <v>124</v>
      </c>
      <c r="B84" t="s">
        <v>94</v>
      </c>
      <c r="C84" t="str">
        <f t="shared" si="8"/>
        <v>André</v>
      </c>
      <c r="D84" t="str">
        <f t="shared" si="10"/>
        <v>Matheus</v>
      </c>
      <c r="E84" t="s">
        <v>109</v>
      </c>
      <c r="F84" t="s">
        <v>126</v>
      </c>
    </row>
    <row r="85" spans="1:6" x14ac:dyDescent="0.25">
      <c r="A85" t="s">
        <v>136</v>
      </c>
      <c r="B85" t="s">
        <v>127</v>
      </c>
      <c r="C85" t="str">
        <f t="shared" si="8"/>
        <v>Arthur</v>
      </c>
      <c r="D85" t="str">
        <f t="shared" ref="D85:D91" si="11">TRIM(RIGHT(B85,LEN(B85)-FIND("&amp;",B85)))</f>
        <v>Oyafuso</v>
      </c>
      <c r="E85" t="s">
        <v>30</v>
      </c>
      <c r="F85" t="s">
        <v>110</v>
      </c>
    </row>
    <row r="86" spans="1:6" x14ac:dyDescent="0.25">
      <c r="A86" t="s">
        <v>136</v>
      </c>
      <c r="B86" t="s">
        <v>80</v>
      </c>
      <c r="C86" t="str">
        <f t="shared" si="8"/>
        <v>Melk</v>
      </c>
      <c r="D86" t="str">
        <f t="shared" si="11"/>
        <v>Sônia</v>
      </c>
      <c r="E86" t="s">
        <v>147</v>
      </c>
      <c r="F86" t="s">
        <v>17</v>
      </c>
    </row>
    <row r="87" spans="1:6" x14ac:dyDescent="0.25">
      <c r="A87" t="s">
        <v>136</v>
      </c>
      <c r="B87" t="s">
        <v>100</v>
      </c>
      <c r="C87" t="str">
        <f t="shared" si="8"/>
        <v>Martin</v>
      </c>
      <c r="D87" t="str">
        <f t="shared" si="11"/>
        <v>Banshee</v>
      </c>
      <c r="E87" t="s">
        <v>107</v>
      </c>
      <c r="F87" t="s">
        <v>48</v>
      </c>
    </row>
    <row r="88" spans="1:6" x14ac:dyDescent="0.25">
      <c r="A88" t="s">
        <v>136</v>
      </c>
      <c r="B88" t="s">
        <v>131</v>
      </c>
      <c r="C88" t="str">
        <f t="shared" si="8"/>
        <v>Andre</v>
      </c>
      <c r="D88" t="str">
        <f t="shared" si="11"/>
        <v>Matheus</v>
      </c>
      <c r="E88" t="s">
        <v>128</v>
      </c>
      <c r="F88" t="s">
        <v>129</v>
      </c>
    </row>
    <row r="89" spans="1:6" x14ac:dyDescent="0.25">
      <c r="A89" t="s">
        <v>136</v>
      </c>
      <c r="B89" t="s">
        <v>132</v>
      </c>
      <c r="C89" t="str">
        <f t="shared" si="8"/>
        <v>Metusa</v>
      </c>
      <c r="D89" t="str">
        <f t="shared" si="11"/>
        <v>Rudzzt</v>
      </c>
      <c r="E89" t="s">
        <v>117</v>
      </c>
      <c r="F89" t="s">
        <v>130</v>
      </c>
    </row>
    <row r="90" spans="1:6" x14ac:dyDescent="0.25">
      <c r="A90" t="s">
        <v>136</v>
      </c>
      <c r="B90" t="s">
        <v>133</v>
      </c>
      <c r="C90" t="str">
        <f t="shared" si="8"/>
        <v>Gustavo Dias</v>
      </c>
      <c r="D90" t="str">
        <f t="shared" si="11"/>
        <v>Luciano</v>
      </c>
      <c r="E90" t="s">
        <v>109</v>
      </c>
      <c r="F90" t="s">
        <v>108</v>
      </c>
    </row>
    <row r="91" spans="1:6" x14ac:dyDescent="0.25">
      <c r="A91" t="s">
        <v>136</v>
      </c>
      <c r="B91" t="s">
        <v>134</v>
      </c>
      <c r="C91" t="str">
        <f t="shared" si="8"/>
        <v>Berka</v>
      </c>
      <c r="D91" t="str">
        <f t="shared" si="11"/>
        <v>Du</v>
      </c>
      <c r="E91" t="s">
        <v>31</v>
      </c>
      <c r="F91" t="s">
        <v>110</v>
      </c>
    </row>
    <row r="92" spans="1:6" x14ac:dyDescent="0.25">
      <c r="A92" t="s">
        <v>136</v>
      </c>
      <c r="B92" t="s">
        <v>135</v>
      </c>
      <c r="C92" t="str">
        <f t="shared" si="8"/>
        <v>Nathan</v>
      </c>
      <c r="D92" t="str">
        <f t="shared" ref="D92" si="12">TRIM(RIGHT(B92,LEN(B92)-FIND("&amp;",B92)))</f>
        <v>Coelho</v>
      </c>
      <c r="E92" t="s">
        <v>15</v>
      </c>
      <c r="F92" t="s">
        <v>28</v>
      </c>
    </row>
    <row r="93" spans="1:6" x14ac:dyDescent="0.25">
      <c r="A93" t="s">
        <v>137</v>
      </c>
      <c r="B93" t="s">
        <v>25</v>
      </c>
      <c r="C93" t="str">
        <f t="shared" si="8"/>
        <v>Jorel</v>
      </c>
      <c r="D93" t="str">
        <f t="shared" ref="D93:D105" si="13">TRIM(RIGHT(B93,LEN(B93)-FIND("&amp;",B93)))</f>
        <v>Martin</v>
      </c>
      <c r="E93" t="s">
        <v>148</v>
      </c>
      <c r="F93" t="s">
        <v>107</v>
      </c>
    </row>
    <row r="94" spans="1:6" x14ac:dyDescent="0.25">
      <c r="A94" t="s">
        <v>137</v>
      </c>
      <c r="B94" t="s">
        <v>112</v>
      </c>
      <c r="C94" t="str">
        <f t="shared" si="8"/>
        <v>Melk</v>
      </c>
      <c r="D94" t="str">
        <f t="shared" si="13"/>
        <v>Sonia</v>
      </c>
      <c r="E94" t="s">
        <v>149</v>
      </c>
      <c r="F94" t="s">
        <v>30</v>
      </c>
    </row>
    <row r="95" spans="1:6" x14ac:dyDescent="0.25">
      <c r="A95" t="s">
        <v>137</v>
      </c>
      <c r="B95" t="s">
        <v>138</v>
      </c>
      <c r="C95" t="str">
        <f t="shared" si="8"/>
        <v>Lucas</v>
      </c>
      <c r="D95" t="str">
        <f t="shared" si="13"/>
        <v>Luiz Rodrigues</v>
      </c>
      <c r="E95" t="s">
        <v>76</v>
      </c>
      <c r="F95" t="s">
        <v>19</v>
      </c>
    </row>
    <row r="96" spans="1:6" x14ac:dyDescent="0.25">
      <c r="A96" t="s">
        <v>137</v>
      </c>
      <c r="B96" t="s">
        <v>139</v>
      </c>
      <c r="C96" t="str">
        <f t="shared" si="8"/>
        <v>Nathalia</v>
      </c>
      <c r="D96" t="str">
        <f t="shared" si="13"/>
        <v>Lily</v>
      </c>
      <c r="E96" t="s">
        <v>148</v>
      </c>
      <c r="F96" t="s">
        <v>59</v>
      </c>
    </row>
    <row r="97" spans="1:6" x14ac:dyDescent="0.25">
      <c r="A97" t="s">
        <v>137</v>
      </c>
      <c r="B97" t="s">
        <v>140</v>
      </c>
      <c r="C97" t="str">
        <f t="shared" si="8"/>
        <v>Zangalli</v>
      </c>
      <c r="D97" t="str">
        <f t="shared" si="13"/>
        <v>Banshee</v>
      </c>
      <c r="E97" t="s">
        <v>17</v>
      </c>
      <c r="F97" t="s">
        <v>110</v>
      </c>
    </row>
    <row r="98" spans="1:6" x14ac:dyDescent="0.25">
      <c r="A98" t="s">
        <v>137</v>
      </c>
      <c r="B98" t="s">
        <v>132</v>
      </c>
      <c r="C98" t="str">
        <f t="shared" si="8"/>
        <v>Metusa</v>
      </c>
      <c r="D98" t="str">
        <f t="shared" si="13"/>
        <v>Rudzzt</v>
      </c>
      <c r="E98" t="s">
        <v>117</v>
      </c>
      <c r="F98" t="s">
        <v>150</v>
      </c>
    </row>
    <row r="99" spans="1:6" x14ac:dyDescent="0.25">
      <c r="A99" t="s">
        <v>137</v>
      </c>
      <c r="B99" t="s">
        <v>141</v>
      </c>
      <c r="C99" t="str">
        <f t="shared" si="8"/>
        <v>Castanhari</v>
      </c>
      <c r="D99" t="str">
        <f t="shared" si="13"/>
        <v>Oyafuso</v>
      </c>
      <c r="E99" t="s">
        <v>107</v>
      </c>
      <c r="F99" t="s">
        <v>76</v>
      </c>
    </row>
    <row r="100" spans="1:6" x14ac:dyDescent="0.25">
      <c r="A100" t="s">
        <v>137</v>
      </c>
      <c r="B100" t="s">
        <v>142</v>
      </c>
      <c r="C100" t="str">
        <f t="shared" si="8"/>
        <v>Beck</v>
      </c>
      <c r="D100" t="str">
        <f t="shared" si="13"/>
        <v>Ricardo</v>
      </c>
      <c r="E100" t="s">
        <v>15</v>
      </c>
      <c r="F100" t="s">
        <v>30</v>
      </c>
    </row>
    <row r="101" spans="1:6" x14ac:dyDescent="0.25">
      <c r="A101" t="s">
        <v>137</v>
      </c>
      <c r="B101" t="s">
        <v>143</v>
      </c>
      <c r="C101" t="str">
        <f t="shared" si="8"/>
        <v>Matheus</v>
      </c>
      <c r="D101" t="str">
        <f t="shared" si="13"/>
        <v>André</v>
      </c>
      <c r="E101" t="s">
        <v>27</v>
      </c>
      <c r="F101" t="s">
        <v>128</v>
      </c>
    </row>
    <row r="102" spans="1:6" x14ac:dyDescent="0.25">
      <c r="A102" t="s">
        <v>137</v>
      </c>
      <c r="B102" t="s">
        <v>144</v>
      </c>
      <c r="C102" t="str">
        <f t="shared" si="8"/>
        <v>João</v>
      </c>
      <c r="D102" t="str">
        <f t="shared" si="13"/>
        <v>Hermann</v>
      </c>
      <c r="E102" t="s">
        <v>40</v>
      </c>
      <c r="F102" t="s">
        <v>40</v>
      </c>
    </row>
    <row r="103" spans="1:6" x14ac:dyDescent="0.25">
      <c r="A103" t="s">
        <v>137</v>
      </c>
      <c r="B103" t="s">
        <v>145</v>
      </c>
      <c r="C103" t="str">
        <f t="shared" si="8"/>
        <v>Pietro</v>
      </c>
      <c r="D103" t="str">
        <f t="shared" si="13"/>
        <v>Luiz Henrique</v>
      </c>
      <c r="E103" t="s">
        <v>49</v>
      </c>
      <c r="F103" t="s">
        <v>39</v>
      </c>
    </row>
    <row r="104" spans="1:6" x14ac:dyDescent="0.25">
      <c r="A104" t="s">
        <v>137</v>
      </c>
      <c r="B104" t="s">
        <v>53</v>
      </c>
      <c r="C104" t="str">
        <f t="shared" si="8"/>
        <v>Theo</v>
      </c>
      <c r="D104" t="str">
        <f t="shared" si="13"/>
        <v>Leonardo</v>
      </c>
      <c r="E104" t="s">
        <v>13</v>
      </c>
      <c r="F104" t="s">
        <v>107</v>
      </c>
    </row>
    <row r="105" spans="1:6" x14ac:dyDescent="0.25">
      <c r="A105" t="s">
        <v>137</v>
      </c>
      <c r="B105" t="s">
        <v>146</v>
      </c>
      <c r="C105" t="str">
        <f t="shared" si="8"/>
        <v>Nathan</v>
      </c>
      <c r="D105" t="str">
        <f t="shared" si="13"/>
        <v>Rogério</v>
      </c>
      <c r="E105" t="s">
        <v>48</v>
      </c>
      <c r="F105" t="s">
        <v>30</v>
      </c>
    </row>
    <row r="106" spans="1:6" x14ac:dyDescent="0.25">
      <c r="A106" t="s">
        <v>155</v>
      </c>
      <c r="B106" t="s">
        <v>112</v>
      </c>
      <c r="C106" t="str">
        <f t="shared" si="8"/>
        <v>Melk</v>
      </c>
      <c r="D106" t="str">
        <f t="shared" ref="D106:D113" si="14">TRIM(RIGHT(B106,LEN(B106)-FIND("&amp;",B106)))</f>
        <v>Sonia</v>
      </c>
      <c r="E106" t="s">
        <v>149</v>
      </c>
      <c r="F106" t="s">
        <v>30</v>
      </c>
    </row>
    <row r="107" spans="1:6" x14ac:dyDescent="0.25">
      <c r="A107" t="s">
        <v>155</v>
      </c>
      <c r="B107" t="s">
        <v>132</v>
      </c>
      <c r="C107" t="str">
        <f t="shared" si="8"/>
        <v>Metusa</v>
      </c>
      <c r="D107" t="str">
        <f t="shared" si="14"/>
        <v>Rudzzt</v>
      </c>
      <c r="E107" t="s">
        <v>156</v>
      </c>
      <c r="F107" t="s">
        <v>20</v>
      </c>
    </row>
    <row r="108" spans="1:6" x14ac:dyDescent="0.25">
      <c r="A108" t="s">
        <v>155</v>
      </c>
      <c r="B108" t="s">
        <v>141</v>
      </c>
      <c r="C108" t="str">
        <f t="shared" si="8"/>
        <v>Castanhari</v>
      </c>
      <c r="D108" t="str">
        <f t="shared" si="14"/>
        <v>Oyafuso</v>
      </c>
      <c r="E108" t="s">
        <v>13</v>
      </c>
      <c r="F108" t="s">
        <v>110</v>
      </c>
    </row>
    <row r="109" spans="1:6" x14ac:dyDescent="0.25">
      <c r="A109" t="s">
        <v>155</v>
      </c>
      <c r="B109" t="s">
        <v>151</v>
      </c>
      <c r="C109" t="str">
        <f t="shared" si="8"/>
        <v>Kit</v>
      </c>
      <c r="D109" t="str">
        <f t="shared" si="14"/>
        <v>Gustavo</v>
      </c>
      <c r="E109" t="s">
        <v>97</v>
      </c>
      <c r="F109" t="s">
        <v>39</v>
      </c>
    </row>
    <row r="110" spans="1:6" x14ac:dyDescent="0.25">
      <c r="A110" t="s">
        <v>155</v>
      </c>
      <c r="B110" t="s">
        <v>25</v>
      </c>
      <c r="C110" t="str">
        <f t="shared" si="8"/>
        <v>Jorel</v>
      </c>
      <c r="D110" t="str">
        <f t="shared" si="14"/>
        <v>Martin</v>
      </c>
      <c r="E110" t="s">
        <v>48</v>
      </c>
      <c r="F110" t="s">
        <v>107</v>
      </c>
    </row>
    <row r="111" spans="1:6" x14ac:dyDescent="0.25">
      <c r="A111" t="s">
        <v>155</v>
      </c>
      <c r="B111" t="s">
        <v>152</v>
      </c>
      <c r="C111" t="str">
        <f t="shared" si="8"/>
        <v>Johann</v>
      </c>
      <c r="D111" t="str">
        <f t="shared" si="14"/>
        <v>Matheus</v>
      </c>
      <c r="E111" t="s">
        <v>157</v>
      </c>
      <c r="F111" t="s">
        <v>158</v>
      </c>
    </row>
    <row r="112" spans="1:6" x14ac:dyDescent="0.25">
      <c r="A112" t="s">
        <v>155</v>
      </c>
      <c r="B112" t="s">
        <v>153</v>
      </c>
      <c r="C112" t="str">
        <f t="shared" si="8"/>
        <v>André</v>
      </c>
      <c r="D112" t="str">
        <f t="shared" si="14"/>
        <v>Zangalli</v>
      </c>
      <c r="E112" t="s">
        <v>109</v>
      </c>
      <c r="F112" t="s">
        <v>13</v>
      </c>
    </row>
    <row r="113" spans="1:6" x14ac:dyDescent="0.25">
      <c r="A113" t="s">
        <v>155</v>
      </c>
      <c r="B113" t="s">
        <v>154</v>
      </c>
      <c r="C113" t="str">
        <f t="shared" si="8"/>
        <v>Rogério</v>
      </c>
      <c r="D113" t="str">
        <f t="shared" si="14"/>
        <v>Beck</v>
      </c>
      <c r="E113" t="s">
        <v>48</v>
      </c>
      <c r="F113" t="s">
        <v>15</v>
      </c>
    </row>
    <row r="114" spans="1:6" x14ac:dyDescent="0.25">
      <c r="A114" t="s">
        <v>159</v>
      </c>
      <c r="B114" t="s">
        <v>111</v>
      </c>
      <c r="C114" t="s">
        <v>160</v>
      </c>
      <c r="D114" t="s">
        <v>161</v>
      </c>
      <c r="E114" t="s">
        <v>162</v>
      </c>
      <c r="F114" t="s">
        <v>163</v>
      </c>
    </row>
    <row r="115" spans="1:6" x14ac:dyDescent="0.25">
      <c r="A115" t="s">
        <v>159</v>
      </c>
      <c r="B115" t="s">
        <v>164</v>
      </c>
      <c r="C115" t="s">
        <v>165</v>
      </c>
      <c r="D115" t="s">
        <v>166</v>
      </c>
      <c r="E115" t="s">
        <v>31</v>
      </c>
      <c r="F115" t="s">
        <v>109</v>
      </c>
    </row>
    <row r="116" spans="1:6" x14ac:dyDescent="0.25">
      <c r="A116" t="s">
        <v>159</v>
      </c>
      <c r="B116" t="s">
        <v>112</v>
      </c>
      <c r="C116" t="s">
        <v>167</v>
      </c>
      <c r="D116" t="s">
        <v>168</v>
      </c>
      <c r="E116" t="s">
        <v>149</v>
      </c>
      <c r="F116" t="s">
        <v>30</v>
      </c>
    </row>
    <row r="117" spans="1:6" x14ac:dyDescent="0.25">
      <c r="A117" t="s">
        <v>159</v>
      </c>
      <c r="B117" t="s">
        <v>132</v>
      </c>
      <c r="C117" t="s">
        <v>169</v>
      </c>
      <c r="D117" t="s">
        <v>170</v>
      </c>
      <c r="E117" t="s">
        <v>150</v>
      </c>
      <c r="F117" t="s">
        <v>78</v>
      </c>
    </row>
    <row r="118" spans="1:6" x14ac:dyDescent="0.25">
      <c r="A118" t="s">
        <v>159</v>
      </c>
      <c r="B118" t="s">
        <v>171</v>
      </c>
      <c r="C118" t="s">
        <v>172</v>
      </c>
      <c r="D118" t="s">
        <v>173</v>
      </c>
      <c r="E118" t="s">
        <v>162</v>
      </c>
      <c r="F118" t="s">
        <v>174</v>
      </c>
    </row>
    <row r="119" spans="1:6" x14ac:dyDescent="0.25">
      <c r="A119" t="s">
        <v>159</v>
      </c>
      <c r="B119" t="s">
        <v>175</v>
      </c>
      <c r="C119" t="s">
        <v>176</v>
      </c>
      <c r="D119" t="s">
        <v>177</v>
      </c>
      <c r="E119" t="s">
        <v>178</v>
      </c>
      <c r="F119" t="s">
        <v>14</v>
      </c>
    </row>
    <row r="120" spans="1:6" x14ac:dyDescent="0.25">
      <c r="A120" t="s">
        <v>159</v>
      </c>
      <c r="B120" t="s">
        <v>141</v>
      </c>
      <c r="C120" t="s">
        <v>179</v>
      </c>
      <c r="D120" t="s">
        <v>180</v>
      </c>
      <c r="E120" t="s">
        <v>181</v>
      </c>
      <c r="F120" t="s">
        <v>110</v>
      </c>
    </row>
    <row r="121" spans="1:6" x14ac:dyDescent="0.25">
      <c r="A121" t="s">
        <v>159</v>
      </c>
      <c r="B121" t="s">
        <v>182</v>
      </c>
      <c r="C121" t="s">
        <v>183</v>
      </c>
      <c r="D121" t="s">
        <v>184</v>
      </c>
      <c r="E121" t="s">
        <v>110</v>
      </c>
      <c r="F121" t="s">
        <v>77</v>
      </c>
    </row>
    <row r="122" spans="1:6" x14ac:dyDescent="0.25">
      <c r="A122" t="s">
        <v>185</v>
      </c>
      <c r="B122" t="s">
        <v>111</v>
      </c>
      <c r="C122" t="s">
        <v>160</v>
      </c>
      <c r="D122" t="s">
        <v>161</v>
      </c>
      <c r="E122" t="s">
        <v>162</v>
      </c>
      <c r="F122" t="s">
        <v>115</v>
      </c>
    </row>
    <row r="123" spans="1:6" x14ac:dyDescent="0.25">
      <c r="A123" t="s">
        <v>185</v>
      </c>
      <c r="B123" t="s">
        <v>98</v>
      </c>
      <c r="C123" t="s">
        <v>168</v>
      </c>
      <c r="D123" t="s">
        <v>167</v>
      </c>
      <c r="E123" t="s">
        <v>191</v>
      </c>
      <c r="F123" t="s">
        <v>109</v>
      </c>
    </row>
    <row r="124" spans="1:6" x14ac:dyDescent="0.25">
      <c r="A124" t="s">
        <v>185</v>
      </c>
      <c r="B124" t="s">
        <v>186</v>
      </c>
      <c r="C124" t="s">
        <v>166</v>
      </c>
      <c r="D124" t="s">
        <v>187</v>
      </c>
      <c r="E124" t="s">
        <v>192</v>
      </c>
      <c r="F124" t="s">
        <v>15</v>
      </c>
    </row>
    <row r="125" spans="1:6" x14ac:dyDescent="0.25">
      <c r="A125" t="s">
        <v>185</v>
      </c>
      <c r="B125" t="s">
        <v>38</v>
      </c>
      <c r="C125" t="s">
        <v>172</v>
      </c>
      <c r="D125" t="s">
        <v>188</v>
      </c>
      <c r="E125" t="s">
        <v>15</v>
      </c>
      <c r="F125" t="s">
        <v>158</v>
      </c>
    </row>
    <row r="126" spans="1:6" x14ac:dyDescent="0.25">
      <c r="A126" t="s">
        <v>185</v>
      </c>
      <c r="B126" t="s">
        <v>189</v>
      </c>
      <c r="C126" t="s">
        <v>179</v>
      </c>
      <c r="D126" t="s">
        <v>190</v>
      </c>
      <c r="E126" t="s">
        <v>15</v>
      </c>
      <c r="F126" t="s">
        <v>27</v>
      </c>
    </row>
    <row r="127" spans="1:6" x14ac:dyDescent="0.25">
      <c r="A127" t="s">
        <v>193</v>
      </c>
      <c r="B127" t="s">
        <v>113</v>
      </c>
      <c r="C127" t="s">
        <v>194</v>
      </c>
      <c r="D127" t="s">
        <v>187</v>
      </c>
      <c r="E127" t="s">
        <v>195</v>
      </c>
      <c r="F127" t="s">
        <v>15</v>
      </c>
    </row>
    <row r="128" spans="1:6" x14ac:dyDescent="0.25">
      <c r="A128" t="s">
        <v>193</v>
      </c>
      <c r="B128" t="s">
        <v>196</v>
      </c>
      <c r="C128" t="s">
        <v>161</v>
      </c>
      <c r="D128" t="s">
        <v>197</v>
      </c>
      <c r="E128" t="s">
        <v>115</v>
      </c>
      <c r="F128" t="s">
        <v>60</v>
      </c>
    </row>
    <row r="129" spans="1:6" x14ac:dyDescent="0.25">
      <c r="A129" t="s">
        <v>193</v>
      </c>
      <c r="B129" t="s">
        <v>189</v>
      </c>
      <c r="C129" t="s">
        <v>179</v>
      </c>
      <c r="D129" t="s">
        <v>190</v>
      </c>
      <c r="E129" t="s">
        <v>163</v>
      </c>
      <c r="F129" t="s">
        <v>27</v>
      </c>
    </row>
    <row r="130" spans="1:6" x14ac:dyDescent="0.25">
      <c r="A130" t="s">
        <v>193</v>
      </c>
      <c r="B130" t="s">
        <v>198</v>
      </c>
      <c r="C130" t="s">
        <v>199</v>
      </c>
      <c r="D130" t="s">
        <v>200</v>
      </c>
      <c r="E130" t="s">
        <v>191</v>
      </c>
      <c r="F130" t="s">
        <v>254</v>
      </c>
    </row>
    <row r="131" spans="1:6" x14ac:dyDescent="0.25">
      <c r="A131" t="s">
        <v>193</v>
      </c>
      <c r="B131" t="s">
        <v>201</v>
      </c>
      <c r="C131" t="s">
        <v>202</v>
      </c>
      <c r="D131" t="s">
        <v>203</v>
      </c>
      <c r="E131" t="s">
        <v>19</v>
      </c>
      <c r="F131" t="s">
        <v>204</v>
      </c>
    </row>
    <row r="132" spans="1:6" x14ac:dyDescent="0.25">
      <c r="A132" t="s">
        <v>193</v>
      </c>
      <c r="B132" t="s">
        <v>205</v>
      </c>
      <c r="C132" t="s">
        <v>206</v>
      </c>
      <c r="D132" t="s">
        <v>207</v>
      </c>
      <c r="E132" t="s">
        <v>208</v>
      </c>
      <c r="F132" t="s">
        <v>106</v>
      </c>
    </row>
    <row r="133" spans="1:6" x14ac:dyDescent="0.25">
      <c r="A133" t="s">
        <v>193</v>
      </c>
      <c r="B133" t="s">
        <v>209</v>
      </c>
      <c r="C133" t="s">
        <v>194</v>
      </c>
      <c r="D133" t="s">
        <v>210</v>
      </c>
      <c r="E133" t="s">
        <v>129</v>
      </c>
      <c r="F133" t="s">
        <v>211</v>
      </c>
    </row>
    <row r="134" spans="1:6" x14ac:dyDescent="0.25">
      <c r="A134" t="s">
        <v>193</v>
      </c>
      <c r="B134" t="s">
        <v>212</v>
      </c>
      <c r="C134" t="s">
        <v>213</v>
      </c>
      <c r="D134" t="s">
        <v>214</v>
      </c>
      <c r="E134" t="s">
        <v>29</v>
      </c>
      <c r="F134" t="s">
        <v>163</v>
      </c>
    </row>
    <row r="135" spans="1:6" x14ac:dyDescent="0.25">
      <c r="A135" t="s">
        <v>193</v>
      </c>
      <c r="B135" t="s">
        <v>215</v>
      </c>
      <c r="C135" t="s">
        <v>216</v>
      </c>
      <c r="D135" t="s">
        <v>217</v>
      </c>
      <c r="E135" t="s">
        <v>148</v>
      </c>
      <c r="F135" t="s">
        <v>181</v>
      </c>
    </row>
    <row r="136" spans="1:6" x14ac:dyDescent="0.25">
      <c r="A136" t="s">
        <v>193</v>
      </c>
      <c r="B136" t="s">
        <v>218</v>
      </c>
      <c r="C136" t="s">
        <v>219</v>
      </c>
      <c r="D136" t="s">
        <v>220</v>
      </c>
      <c r="E136" t="s">
        <v>162</v>
      </c>
      <c r="F136" t="s">
        <v>237</v>
      </c>
    </row>
    <row r="137" spans="1:6" x14ac:dyDescent="0.25">
      <c r="A137" t="s">
        <v>221</v>
      </c>
      <c r="B137" t="s">
        <v>38</v>
      </c>
      <c r="C137" t="s">
        <v>172</v>
      </c>
      <c r="D137" t="s">
        <v>188</v>
      </c>
      <c r="E137" t="s">
        <v>15</v>
      </c>
      <c r="F137" t="s">
        <v>158</v>
      </c>
    </row>
    <row r="138" spans="1:6" x14ac:dyDescent="0.25">
      <c r="A138" t="s">
        <v>221</v>
      </c>
      <c r="B138" t="s">
        <v>25</v>
      </c>
      <c r="C138" t="s">
        <v>160</v>
      </c>
      <c r="D138" t="s">
        <v>222</v>
      </c>
      <c r="E138" t="s">
        <v>59</v>
      </c>
      <c r="F138" t="s">
        <v>68</v>
      </c>
    </row>
    <row r="139" spans="1:6" x14ac:dyDescent="0.25">
      <c r="A139" t="s">
        <v>221</v>
      </c>
      <c r="B139" t="s">
        <v>94</v>
      </c>
      <c r="C139" t="s">
        <v>166</v>
      </c>
      <c r="D139" t="s">
        <v>194</v>
      </c>
      <c r="E139" t="s">
        <v>109</v>
      </c>
      <c r="F139" t="s">
        <v>149</v>
      </c>
    </row>
    <row r="140" spans="1:6" x14ac:dyDescent="0.25">
      <c r="A140" t="s">
        <v>221</v>
      </c>
      <c r="B140" t="s">
        <v>112</v>
      </c>
      <c r="C140" t="s">
        <v>167</v>
      </c>
      <c r="D140" t="s">
        <v>168</v>
      </c>
      <c r="E140" t="s">
        <v>108</v>
      </c>
      <c r="F140" t="s">
        <v>17</v>
      </c>
    </row>
    <row r="141" spans="1:6" x14ac:dyDescent="0.25">
      <c r="A141" t="s">
        <v>221</v>
      </c>
      <c r="B141" t="s">
        <v>103</v>
      </c>
      <c r="C141" t="s">
        <v>169</v>
      </c>
      <c r="D141" t="s">
        <v>224</v>
      </c>
      <c r="E141" t="s">
        <v>225</v>
      </c>
      <c r="F141" t="s">
        <v>150</v>
      </c>
    </row>
    <row r="142" spans="1:6" x14ac:dyDescent="0.25">
      <c r="A142" t="s">
        <v>221</v>
      </c>
      <c r="B142" t="s">
        <v>226</v>
      </c>
      <c r="C142" t="s">
        <v>227</v>
      </c>
      <c r="D142" t="s">
        <v>197</v>
      </c>
      <c r="E142" t="s">
        <v>110</v>
      </c>
      <c r="F142" t="s">
        <v>60</v>
      </c>
    </row>
    <row r="143" spans="1:6" x14ac:dyDescent="0.25">
      <c r="A143" t="s">
        <v>221</v>
      </c>
      <c r="B143" t="s">
        <v>53</v>
      </c>
      <c r="C143" t="s">
        <v>228</v>
      </c>
      <c r="D143" t="s">
        <v>229</v>
      </c>
      <c r="E143" t="s">
        <v>48</v>
      </c>
      <c r="F143" t="s">
        <v>178</v>
      </c>
    </row>
    <row r="144" spans="1:6" x14ac:dyDescent="0.25">
      <c r="A144" t="s">
        <v>221</v>
      </c>
      <c r="B144" t="s">
        <v>231</v>
      </c>
      <c r="C144" t="s">
        <v>173</v>
      </c>
      <c r="D144" t="s">
        <v>187</v>
      </c>
      <c r="E144" t="s">
        <v>97</v>
      </c>
      <c r="F144" t="s">
        <v>15</v>
      </c>
    </row>
    <row r="145" spans="1:6" x14ac:dyDescent="0.25">
      <c r="A145" t="s">
        <v>221</v>
      </c>
      <c r="B145" t="s">
        <v>189</v>
      </c>
      <c r="C145" t="s">
        <v>179</v>
      </c>
      <c r="D145" t="s">
        <v>190</v>
      </c>
      <c r="E145" t="s">
        <v>178</v>
      </c>
      <c r="F145" t="s">
        <v>27</v>
      </c>
    </row>
    <row r="146" spans="1:6" x14ac:dyDescent="0.25">
      <c r="A146" t="s">
        <v>221</v>
      </c>
      <c r="B146" t="s">
        <v>201</v>
      </c>
      <c r="C146" t="s">
        <v>202</v>
      </c>
      <c r="D146" t="s">
        <v>203</v>
      </c>
      <c r="E146" t="s">
        <v>19</v>
      </c>
      <c r="F146" t="s">
        <v>48</v>
      </c>
    </row>
    <row r="147" spans="1:6" x14ac:dyDescent="0.25">
      <c r="A147" t="s">
        <v>221</v>
      </c>
      <c r="B147" t="s">
        <v>205</v>
      </c>
      <c r="C147" t="s">
        <v>206</v>
      </c>
      <c r="D147" t="s">
        <v>207</v>
      </c>
      <c r="E147" t="s">
        <v>106</v>
      </c>
      <c r="F147" t="s">
        <v>21</v>
      </c>
    </row>
    <row r="148" spans="1:6" x14ac:dyDescent="0.25">
      <c r="A148" t="s">
        <v>221</v>
      </c>
      <c r="B148" t="s">
        <v>232</v>
      </c>
      <c r="C148" t="s">
        <v>233</v>
      </c>
      <c r="D148" t="s">
        <v>234</v>
      </c>
      <c r="E148" t="s">
        <v>27</v>
      </c>
      <c r="F148" t="s">
        <v>163</v>
      </c>
    </row>
    <row r="149" spans="1:6" x14ac:dyDescent="0.25">
      <c r="A149" t="s">
        <v>221</v>
      </c>
      <c r="B149" t="s">
        <v>84</v>
      </c>
      <c r="C149" t="s">
        <v>235</v>
      </c>
      <c r="D149" t="s">
        <v>236</v>
      </c>
      <c r="E149" t="s">
        <v>17</v>
      </c>
      <c r="F149" t="s">
        <v>115</v>
      </c>
    </row>
    <row r="150" spans="1:6" x14ac:dyDescent="0.25">
      <c r="A150" t="s">
        <v>238</v>
      </c>
      <c r="B150" t="s">
        <v>38</v>
      </c>
      <c r="C150" t="s">
        <v>172</v>
      </c>
      <c r="D150" t="s">
        <v>188</v>
      </c>
      <c r="E150" t="s">
        <v>15</v>
      </c>
      <c r="F150" t="s">
        <v>158</v>
      </c>
    </row>
    <row r="151" spans="1:6" x14ac:dyDescent="0.25">
      <c r="A151" t="s">
        <v>238</v>
      </c>
      <c r="B151" t="s">
        <v>25</v>
      </c>
      <c r="C151" t="s">
        <v>160</v>
      </c>
      <c r="D151" t="s">
        <v>222</v>
      </c>
      <c r="E151" t="s">
        <v>15</v>
      </c>
      <c r="F151" t="s">
        <v>108</v>
      </c>
    </row>
    <row r="152" spans="1:6" x14ac:dyDescent="0.25">
      <c r="A152" t="s">
        <v>238</v>
      </c>
      <c r="B152" t="s">
        <v>103</v>
      </c>
      <c r="C152" t="s">
        <v>169</v>
      </c>
      <c r="D152" t="s">
        <v>224</v>
      </c>
      <c r="E152" t="s">
        <v>240</v>
      </c>
      <c r="F152" t="s">
        <v>241</v>
      </c>
    </row>
    <row r="153" spans="1:6" x14ac:dyDescent="0.25">
      <c r="A153" t="s">
        <v>238</v>
      </c>
      <c r="B153" t="s">
        <v>98</v>
      </c>
      <c r="C153" t="s">
        <v>168</v>
      </c>
      <c r="D153" t="s">
        <v>167</v>
      </c>
      <c r="E153" t="s">
        <v>108</v>
      </c>
      <c r="F153" t="s">
        <v>17</v>
      </c>
    </row>
    <row r="154" spans="1:6" x14ac:dyDescent="0.25">
      <c r="A154" t="s">
        <v>238</v>
      </c>
      <c r="B154" t="s">
        <v>94</v>
      </c>
      <c r="C154" t="s">
        <v>166</v>
      </c>
      <c r="D154" t="s">
        <v>194</v>
      </c>
      <c r="E154" t="s">
        <v>162</v>
      </c>
      <c r="F154" t="s">
        <v>27</v>
      </c>
    </row>
    <row r="155" spans="1:6" x14ac:dyDescent="0.25">
      <c r="A155" t="s">
        <v>238</v>
      </c>
      <c r="B155" t="s">
        <v>242</v>
      </c>
      <c r="C155" t="s">
        <v>243</v>
      </c>
      <c r="D155" t="s">
        <v>219</v>
      </c>
      <c r="E155" t="s">
        <v>31</v>
      </c>
      <c r="F155" t="s">
        <v>254</v>
      </c>
    </row>
    <row r="156" spans="1:6" x14ac:dyDescent="0.25">
      <c r="A156" t="s">
        <v>238</v>
      </c>
      <c r="B156" t="s">
        <v>245</v>
      </c>
      <c r="C156" t="s">
        <v>246</v>
      </c>
      <c r="D156" t="s">
        <v>247</v>
      </c>
      <c r="E156" t="s">
        <v>149</v>
      </c>
      <c r="F156" t="s">
        <v>29</v>
      </c>
    </row>
    <row r="157" spans="1:6" x14ac:dyDescent="0.25">
      <c r="A157" t="s">
        <v>238</v>
      </c>
      <c r="B157" t="s">
        <v>201</v>
      </c>
      <c r="C157" t="s">
        <v>202</v>
      </c>
      <c r="D157" t="s">
        <v>203</v>
      </c>
      <c r="E157" t="s">
        <v>19</v>
      </c>
      <c r="F157" t="s">
        <v>48</v>
      </c>
    </row>
    <row r="158" spans="1:6" x14ac:dyDescent="0.25">
      <c r="A158" t="s">
        <v>238</v>
      </c>
      <c r="B158" t="s">
        <v>189</v>
      </c>
      <c r="C158" t="s">
        <v>179</v>
      </c>
      <c r="D158" t="s">
        <v>190</v>
      </c>
      <c r="E158" t="s">
        <v>48</v>
      </c>
      <c r="F158" t="s">
        <v>27</v>
      </c>
    </row>
    <row r="159" spans="1:6" x14ac:dyDescent="0.25">
      <c r="A159" t="s">
        <v>238</v>
      </c>
      <c r="B159" t="s">
        <v>248</v>
      </c>
      <c r="C159" t="s">
        <v>249</v>
      </c>
      <c r="D159" t="s">
        <v>161</v>
      </c>
      <c r="E159" t="s">
        <v>191</v>
      </c>
      <c r="F159" t="s">
        <v>58</v>
      </c>
    </row>
    <row r="160" spans="1:6" x14ac:dyDescent="0.25">
      <c r="A160" t="s">
        <v>238</v>
      </c>
      <c r="B160" t="s">
        <v>250</v>
      </c>
      <c r="C160" t="s">
        <v>251</v>
      </c>
      <c r="D160" t="s">
        <v>252</v>
      </c>
      <c r="E160" t="s">
        <v>39</v>
      </c>
      <c r="F160" t="s">
        <v>27</v>
      </c>
    </row>
    <row r="161" spans="1:6" x14ac:dyDescent="0.25">
      <c r="A161" t="s">
        <v>255</v>
      </c>
      <c r="B161" t="s">
        <v>256</v>
      </c>
      <c r="C161" t="s">
        <v>243</v>
      </c>
      <c r="D161" t="s">
        <v>235</v>
      </c>
      <c r="E161" t="s">
        <v>31</v>
      </c>
      <c r="F161" t="s">
        <v>108</v>
      </c>
    </row>
    <row r="162" spans="1:6" x14ac:dyDescent="0.25">
      <c r="A162" t="s">
        <v>255</v>
      </c>
      <c r="B162" t="s">
        <v>143</v>
      </c>
      <c r="C162" t="s">
        <v>194</v>
      </c>
      <c r="D162" t="s">
        <v>166</v>
      </c>
      <c r="E162" t="s">
        <v>162</v>
      </c>
      <c r="F162" t="s">
        <v>110</v>
      </c>
    </row>
    <row r="163" spans="1:6" x14ac:dyDescent="0.25">
      <c r="A163" t="s">
        <v>255</v>
      </c>
      <c r="B163" t="s">
        <v>53</v>
      </c>
      <c r="C163" t="s">
        <v>228</v>
      </c>
      <c r="D163" t="s">
        <v>229</v>
      </c>
      <c r="E163" t="s">
        <v>39</v>
      </c>
      <c r="F163" t="s">
        <v>230</v>
      </c>
    </row>
    <row r="164" spans="1:6" x14ac:dyDescent="0.25">
      <c r="A164" t="s">
        <v>255</v>
      </c>
      <c r="B164" t="s">
        <v>103</v>
      </c>
      <c r="C164" t="s">
        <v>169</v>
      </c>
      <c r="D164" t="s">
        <v>224</v>
      </c>
      <c r="E164" t="s">
        <v>150</v>
      </c>
      <c r="F164" t="s">
        <v>15</v>
      </c>
    </row>
    <row r="165" spans="1:6" x14ac:dyDescent="0.25">
      <c r="A165" t="s">
        <v>255</v>
      </c>
      <c r="B165" t="s">
        <v>111</v>
      </c>
      <c r="C165" t="s">
        <v>160</v>
      </c>
      <c r="D165" t="s">
        <v>161</v>
      </c>
      <c r="E165" t="s">
        <v>59</v>
      </c>
      <c r="F165" t="s">
        <v>158</v>
      </c>
    </row>
    <row r="166" spans="1:6" x14ac:dyDescent="0.25">
      <c r="A166" t="s">
        <v>255</v>
      </c>
      <c r="B166" t="s">
        <v>38</v>
      </c>
      <c r="C166" t="s">
        <v>172</v>
      </c>
      <c r="D166" t="s">
        <v>188</v>
      </c>
      <c r="E166" t="s">
        <v>15</v>
      </c>
      <c r="F166" t="s">
        <v>158</v>
      </c>
    </row>
    <row r="167" spans="1:6" x14ac:dyDescent="0.25">
      <c r="A167" t="s">
        <v>255</v>
      </c>
      <c r="B167" t="s">
        <v>201</v>
      </c>
      <c r="C167" t="s">
        <v>202</v>
      </c>
      <c r="D167" t="s">
        <v>203</v>
      </c>
      <c r="E167" t="s">
        <v>272</v>
      </c>
      <c r="F167" t="s">
        <v>149</v>
      </c>
    </row>
    <row r="168" spans="1:6" x14ac:dyDescent="0.25">
      <c r="A168" t="s">
        <v>255</v>
      </c>
      <c r="B168" t="s">
        <v>260</v>
      </c>
      <c r="C168" t="s">
        <v>261</v>
      </c>
      <c r="D168" t="s">
        <v>262</v>
      </c>
      <c r="E168" t="s">
        <v>17</v>
      </c>
      <c r="F168" t="s">
        <v>27</v>
      </c>
    </row>
    <row r="169" spans="1:6" x14ac:dyDescent="0.25">
      <c r="A169" t="s">
        <v>255</v>
      </c>
      <c r="B169" t="s">
        <v>264</v>
      </c>
      <c r="C169" t="s">
        <v>187</v>
      </c>
      <c r="D169" t="s">
        <v>227</v>
      </c>
      <c r="E169" t="s">
        <v>15</v>
      </c>
      <c r="F169" t="s">
        <v>208</v>
      </c>
    </row>
    <row r="170" spans="1:6" x14ac:dyDescent="0.25">
      <c r="A170" t="s">
        <v>255</v>
      </c>
      <c r="B170" t="s">
        <v>112</v>
      </c>
      <c r="C170" t="s">
        <v>167</v>
      </c>
      <c r="D170" t="s">
        <v>168</v>
      </c>
      <c r="E170" t="s">
        <v>150</v>
      </c>
      <c r="F170" t="s">
        <v>108</v>
      </c>
    </row>
    <row r="171" spans="1:6" x14ac:dyDescent="0.25">
      <c r="A171" t="s">
        <v>255</v>
      </c>
      <c r="B171" t="s">
        <v>267</v>
      </c>
      <c r="C171" t="s">
        <v>268</v>
      </c>
      <c r="D171" t="s">
        <v>269</v>
      </c>
      <c r="E171" t="s">
        <v>49</v>
      </c>
      <c r="F171" t="s">
        <v>87</v>
      </c>
    </row>
    <row r="172" spans="1:6" x14ac:dyDescent="0.25">
      <c r="A172" t="s">
        <v>285</v>
      </c>
      <c r="B172" t="s">
        <v>273</v>
      </c>
      <c r="C172" t="s">
        <v>194</v>
      </c>
      <c r="D172" t="s">
        <v>228</v>
      </c>
      <c r="E172" t="s">
        <v>254</v>
      </c>
      <c r="F172" t="s">
        <v>149</v>
      </c>
    </row>
    <row r="173" spans="1:6" x14ac:dyDescent="0.25">
      <c r="A173" t="s">
        <v>285</v>
      </c>
      <c r="B173" t="s">
        <v>38</v>
      </c>
      <c r="C173" t="s">
        <v>172</v>
      </c>
      <c r="D173" t="s">
        <v>188</v>
      </c>
      <c r="E173" t="s">
        <v>15</v>
      </c>
      <c r="F173" t="s">
        <v>158</v>
      </c>
    </row>
    <row r="174" spans="1:6" x14ac:dyDescent="0.25">
      <c r="A174" t="s">
        <v>285</v>
      </c>
      <c r="B174" t="s">
        <v>146</v>
      </c>
      <c r="C174" t="s">
        <v>227</v>
      </c>
      <c r="D174" t="s">
        <v>274</v>
      </c>
      <c r="E174" t="s">
        <v>149</v>
      </c>
      <c r="F174" t="s">
        <v>163</v>
      </c>
    </row>
    <row r="175" spans="1:6" x14ac:dyDescent="0.25">
      <c r="A175" t="s">
        <v>285</v>
      </c>
      <c r="B175" t="s">
        <v>275</v>
      </c>
      <c r="C175" t="s">
        <v>276</v>
      </c>
      <c r="D175" t="s">
        <v>170</v>
      </c>
      <c r="E175" t="s">
        <v>257</v>
      </c>
      <c r="F175" t="s">
        <v>15</v>
      </c>
    </row>
    <row r="176" spans="1:6" x14ac:dyDescent="0.25">
      <c r="A176" t="s">
        <v>285</v>
      </c>
      <c r="B176" t="s">
        <v>143</v>
      </c>
      <c r="C176" t="s">
        <v>194</v>
      </c>
      <c r="D176" t="s">
        <v>166</v>
      </c>
      <c r="E176" t="s">
        <v>130</v>
      </c>
      <c r="F176" t="s">
        <v>277</v>
      </c>
    </row>
    <row r="177" spans="1:6" x14ac:dyDescent="0.25">
      <c r="A177" t="s">
        <v>285</v>
      </c>
      <c r="B177" t="s">
        <v>278</v>
      </c>
      <c r="C177" t="s">
        <v>168</v>
      </c>
      <c r="D177" t="s">
        <v>279</v>
      </c>
      <c r="E177" t="s">
        <v>17</v>
      </c>
      <c r="F177" t="s">
        <v>108</v>
      </c>
    </row>
    <row r="178" spans="1:6" x14ac:dyDescent="0.25">
      <c r="A178" t="s">
        <v>285</v>
      </c>
      <c r="B178" t="s">
        <v>201</v>
      </c>
      <c r="C178" t="s">
        <v>202</v>
      </c>
      <c r="D178" t="s">
        <v>203</v>
      </c>
      <c r="E178" t="s">
        <v>126</v>
      </c>
      <c r="F178" t="s">
        <v>149</v>
      </c>
    </row>
    <row r="179" spans="1:6" x14ac:dyDescent="0.25">
      <c r="A179" t="s">
        <v>285</v>
      </c>
      <c r="B179" t="s">
        <v>260</v>
      </c>
      <c r="C179" t="s">
        <v>261</v>
      </c>
      <c r="D179" t="s">
        <v>262</v>
      </c>
      <c r="E179" t="s">
        <v>204</v>
      </c>
      <c r="F179" t="s">
        <v>27</v>
      </c>
    </row>
    <row r="180" spans="1:6" x14ac:dyDescent="0.25">
      <c r="A180" t="s">
        <v>285</v>
      </c>
      <c r="B180" t="s">
        <v>189</v>
      </c>
      <c r="C180" t="s">
        <v>179</v>
      </c>
      <c r="D180" t="s">
        <v>190</v>
      </c>
      <c r="E180" t="s">
        <v>106</v>
      </c>
      <c r="F180" t="s">
        <v>27</v>
      </c>
    </row>
    <row r="181" spans="1:6" x14ac:dyDescent="0.25">
      <c r="A181" t="s">
        <v>285</v>
      </c>
      <c r="B181" t="s">
        <v>280</v>
      </c>
      <c r="C181" t="s">
        <v>235</v>
      </c>
      <c r="D181" t="s">
        <v>281</v>
      </c>
      <c r="E181" t="s">
        <v>162</v>
      </c>
      <c r="F181" t="s">
        <v>110</v>
      </c>
    </row>
    <row r="182" spans="1:6" x14ac:dyDescent="0.25">
      <c r="A182" t="s">
        <v>285</v>
      </c>
      <c r="B182" t="s">
        <v>282</v>
      </c>
      <c r="C182" t="s">
        <v>222</v>
      </c>
      <c r="D182" t="s">
        <v>283</v>
      </c>
      <c r="E182" t="s">
        <v>284</v>
      </c>
      <c r="F182" t="s">
        <v>178</v>
      </c>
    </row>
    <row r="183" spans="1:6" x14ac:dyDescent="0.25">
      <c r="A183" t="s">
        <v>295</v>
      </c>
      <c r="B183" s="1" t="s">
        <v>38</v>
      </c>
      <c r="C183" s="1" t="s">
        <v>172</v>
      </c>
      <c r="D183" s="1" t="s">
        <v>188</v>
      </c>
      <c r="E183" t="s">
        <v>15</v>
      </c>
      <c r="F183" s="1" t="s">
        <v>158</v>
      </c>
    </row>
    <row r="184" spans="1:6" x14ac:dyDescent="0.25">
      <c r="A184" t="s">
        <v>295</v>
      </c>
      <c r="B184" s="1" t="s">
        <v>10</v>
      </c>
      <c r="C184" s="1" t="s">
        <v>222</v>
      </c>
      <c r="D184" s="1" t="s">
        <v>160</v>
      </c>
      <c r="E184" s="1" t="s">
        <v>297</v>
      </c>
      <c r="F184" t="s">
        <v>48</v>
      </c>
    </row>
    <row r="185" spans="1:6" x14ac:dyDescent="0.25">
      <c r="A185" t="s">
        <v>295</v>
      </c>
      <c r="B185" s="1" t="s">
        <v>84</v>
      </c>
      <c r="C185" s="1" t="s">
        <v>235</v>
      </c>
      <c r="D185" s="1" t="s">
        <v>236</v>
      </c>
      <c r="E185" t="s">
        <v>15</v>
      </c>
      <c r="F185" t="s">
        <v>108</v>
      </c>
    </row>
    <row r="186" spans="1:6" x14ac:dyDescent="0.25">
      <c r="A186" t="s">
        <v>295</v>
      </c>
      <c r="B186" s="1" t="s">
        <v>286</v>
      </c>
      <c r="C186" s="1" t="s">
        <v>187</v>
      </c>
      <c r="D186" s="1" t="s">
        <v>169</v>
      </c>
      <c r="E186" s="1" t="s">
        <v>87</v>
      </c>
      <c r="F186" s="1" t="s">
        <v>296</v>
      </c>
    </row>
    <row r="187" spans="1:6" x14ac:dyDescent="0.25">
      <c r="A187" t="s">
        <v>295</v>
      </c>
      <c r="B187" s="1" t="s">
        <v>287</v>
      </c>
      <c r="C187" s="1" t="s">
        <v>194</v>
      </c>
      <c r="D187" s="1" t="s">
        <v>288</v>
      </c>
      <c r="E187" s="1" t="s">
        <v>149</v>
      </c>
      <c r="F187" s="1" t="s">
        <v>29</v>
      </c>
    </row>
    <row r="188" spans="1:6" x14ac:dyDescent="0.25">
      <c r="A188" t="s">
        <v>295</v>
      </c>
      <c r="B188" s="1" t="s">
        <v>278</v>
      </c>
      <c r="C188" s="1" t="s">
        <v>168</v>
      </c>
      <c r="D188" s="1" t="s">
        <v>279</v>
      </c>
      <c r="E188" s="1" t="s">
        <v>17</v>
      </c>
      <c r="F188" t="s">
        <v>108</v>
      </c>
    </row>
    <row r="189" spans="1:6" x14ac:dyDescent="0.25">
      <c r="A189" t="s">
        <v>295</v>
      </c>
      <c r="B189" s="1" t="s">
        <v>289</v>
      </c>
      <c r="C189" s="1" t="s">
        <v>227</v>
      </c>
      <c r="D189" s="1" t="s">
        <v>290</v>
      </c>
      <c r="E189" s="1" t="s">
        <v>163</v>
      </c>
      <c r="F189" s="1" t="s">
        <v>149</v>
      </c>
    </row>
    <row r="190" spans="1:6" x14ac:dyDescent="0.25">
      <c r="A190" t="s">
        <v>295</v>
      </c>
      <c r="B190" s="1" t="s">
        <v>291</v>
      </c>
      <c r="C190" s="1" t="s">
        <v>292</v>
      </c>
      <c r="D190" s="1" t="s">
        <v>165</v>
      </c>
      <c r="E190" s="1" t="s">
        <v>147</v>
      </c>
      <c r="F190" t="s">
        <v>31</v>
      </c>
    </row>
    <row r="191" spans="1:6" x14ac:dyDescent="0.25">
      <c r="A191" t="s">
        <v>295</v>
      </c>
      <c r="B191" s="1" t="s">
        <v>293</v>
      </c>
      <c r="C191" s="1" t="s">
        <v>294</v>
      </c>
      <c r="D191" s="1" t="s">
        <v>179</v>
      </c>
      <c r="E191" s="1" t="s">
        <v>148</v>
      </c>
      <c r="F191" s="1" t="s">
        <v>59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96593-77C6-4BD0-AA23-61C01C2A4C65}">
  <dimension ref="A1:F12"/>
  <sheetViews>
    <sheetView workbookViewId="0">
      <selection activeCell="B2" sqref="B2:F12"/>
    </sheetView>
  </sheetViews>
  <sheetFormatPr defaultRowHeight="15" x14ac:dyDescent="0.25"/>
  <cols>
    <col min="1" max="1" width="24.5703125" bestFit="1" customWidth="1"/>
    <col min="2" max="2" width="32.7109375" bestFit="1" customWidth="1"/>
    <col min="3" max="3" width="17.28515625" bestFit="1" customWidth="1"/>
    <col min="4" max="4" width="13.85546875" bestFit="1" customWidth="1"/>
    <col min="5" max="5" width="19.42578125" bestFit="1" customWidth="1"/>
    <col min="6" max="6" width="20.425781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56</v>
      </c>
      <c r="B2" t="s">
        <v>256</v>
      </c>
      <c r="C2" t="s">
        <v>243</v>
      </c>
      <c r="D2" t="s">
        <v>235</v>
      </c>
      <c r="E2" t="s">
        <v>244</v>
      </c>
      <c r="F2" t="s">
        <v>239</v>
      </c>
    </row>
    <row r="3" spans="1:6" x14ac:dyDescent="0.25">
      <c r="A3" t="s">
        <v>56</v>
      </c>
      <c r="B3" t="s">
        <v>143</v>
      </c>
      <c r="C3" t="s">
        <v>194</v>
      </c>
      <c r="D3" t="s">
        <v>166</v>
      </c>
      <c r="E3" t="s">
        <v>162</v>
      </c>
      <c r="F3" t="s">
        <v>110</v>
      </c>
    </row>
    <row r="4" spans="1:6" x14ac:dyDescent="0.25">
      <c r="A4" t="s">
        <v>56</v>
      </c>
      <c r="B4" t="s">
        <v>53</v>
      </c>
      <c r="C4" t="s">
        <v>228</v>
      </c>
      <c r="D4" t="s">
        <v>229</v>
      </c>
      <c r="E4" t="s">
        <v>253</v>
      </c>
      <c r="F4" t="s">
        <v>230</v>
      </c>
    </row>
    <row r="5" spans="1:6" x14ac:dyDescent="0.25">
      <c r="A5" t="s">
        <v>56</v>
      </c>
      <c r="B5" t="s">
        <v>103</v>
      </c>
      <c r="C5" t="s">
        <v>169</v>
      </c>
      <c r="D5" t="s">
        <v>224</v>
      </c>
      <c r="E5" t="s">
        <v>257</v>
      </c>
      <c r="F5" t="s">
        <v>258</v>
      </c>
    </row>
    <row r="6" spans="1:6" x14ac:dyDescent="0.25">
      <c r="A6" t="s">
        <v>56</v>
      </c>
      <c r="B6" t="s">
        <v>111</v>
      </c>
      <c r="C6" t="s">
        <v>160</v>
      </c>
      <c r="D6" t="s">
        <v>161</v>
      </c>
      <c r="E6" t="s">
        <v>59</v>
      </c>
      <c r="F6" t="s">
        <v>158</v>
      </c>
    </row>
    <row r="7" spans="1:6" x14ac:dyDescent="0.25">
      <c r="A7" t="s">
        <v>56</v>
      </c>
      <c r="B7" t="s">
        <v>38</v>
      </c>
      <c r="C7" t="s">
        <v>172</v>
      </c>
      <c r="D7" t="s">
        <v>188</v>
      </c>
      <c r="E7" t="s">
        <v>15</v>
      </c>
      <c r="F7" t="s">
        <v>158</v>
      </c>
    </row>
    <row r="8" spans="1:6" x14ac:dyDescent="0.25">
      <c r="A8" t="s">
        <v>56</v>
      </c>
      <c r="B8" t="s">
        <v>201</v>
      </c>
      <c r="C8" t="s">
        <v>202</v>
      </c>
      <c r="D8" t="s">
        <v>203</v>
      </c>
      <c r="E8" t="s">
        <v>259</v>
      </c>
      <c r="F8" t="s">
        <v>149</v>
      </c>
    </row>
    <row r="9" spans="1:6" x14ac:dyDescent="0.25">
      <c r="A9" t="s">
        <v>56</v>
      </c>
      <c r="B9" t="s">
        <v>260</v>
      </c>
      <c r="C9" t="s">
        <v>261</v>
      </c>
      <c r="D9" t="s">
        <v>262</v>
      </c>
      <c r="E9" t="s">
        <v>223</v>
      </c>
      <c r="F9" t="s">
        <v>263</v>
      </c>
    </row>
    <row r="10" spans="1:6" x14ac:dyDescent="0.25">
      <c r="A10" t="s">
        <v>56</v>
      </c>
      <c r="B10" t="s">
        <v>264</v>
      </c>
      <c r="C10" t="s">
        <v>187</v>
      </c>
      <c r="D10" t="s">
        <v>227</v>
      </c>
      <c r="E10" t="s">
        <v>258</v>
      </c>
      <c r="F10" t="s">
        <v>208</v>
      </c>
    </row>
    <row r="11" spans="1:6" x14ac:dyDescent="0.25">
      <c r="A11" t="s">
        <v>56</v>
      </c>
      <c r="B11" t="s">
        <v>112</v>
      </c>
      <c r="C11" t="s">
        <v>167</v>
      </c>
      <c r="D11" t="s">
        <v>168</v>
      </c>
      <c r="E11" t="s">
        <v>265</v>
      </c>
      <c r="F11" t="s">
        <v>266</v>
      </c>
    </row>
    <row r="12" spans="1:6" x14ac:dyDescent="0.25">
      <c r="A12" t="s">
        <v>56</v>
      </c>
      <c r="B12" t="s">
        <v>267</v>
      </c>
      <c r="C12" t="s">
        <v>268</v>
      </c>
      <c r="D12" t="s">
        <v>269</v>
      </c>
      <c r="E12" t="s">
        <v>270</v>
      </c>
      <c r="F12" t="s">
        <v>271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</dc:creator>
  <cp:lastModifiedBy>Edd</cp:lastModifiedBy>
  <dcterms:created xsi:type="dcterms:W3CDTF">2015-06-05T18:17:20Z</dcterms:created>
  <dcterms:modified xsi:type="dcterms:W3CDTF">2026-09-03T01:40:45Z</dcterms:modified>
</cp:coreProperties>
</file>